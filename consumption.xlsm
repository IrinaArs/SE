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.gricenko\Desktop\макросы в гит силикон\"/>
    </mc:Choice>
  </mc:AlternateContent>
  <xr:revisionPtr revIDLastSave="0" documentId="13_ncr:1_{18D089CA-3E03-415F-9E81-DBDB194F481A}" xr6:coauthVersionLast="47" xr6:coauthVersionMax="47" xr10:uidLastSave="{00000000-0000-0000-0000-000000000000}"/>
  <bookViews>
    <workbookView xWindow="-28920" yWindow="-120" windowWidth="29040" windowHeight="15840" firstSheet="1" activeTab="1" xr2:uid="{00000000-000D-0000-FFFF-FFFF00000000}"/>
  </bookViews>
  <sheets>
    <sheet name="Расход Production" sheetId="1" r:id="rId1"/>
    <sheet name="Расход Eng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33" i="1" l="1"/>
  <c r="K420" i="2"/>
  <c r="Q420" i="2" s="1"/>
  <c r="I420" i="2"/>
  <c r="S420" i="2" s="1"/>
  <c r="R418" i="2"/>
  <c r="Q418" i="2"/>
  <c r="K418" i="2"/>
  <c r="I418" i="2"/>
  <c r="S418" i="2" s="1"/>
  <c r="S417" i="2"/>
  <c r="K417" i="2"/>
  <c r="I417" i="2"/>
  <c r="K416" i="2"/>
  <c r="I416" i="2"/>
  <c r="S416" i="2" s="1"/>
  <c r="K415" i="2"/>
  <c r="I415" i="2"/>
  <c r="S415" i="2" s="1"/>
  <c r="R414" i="2"/>
  <c r="K414" i="2"/>
  <c r="I414" i="2"/>
  <c r="S414" i="2" s="1"/>
  <c r="S413" i="2"/>
  <c r="K413" i="2"/>
  <c r="I413" i="2"/>
  <c r="Q413" i="2" s="1"/>
  <c r="K412" i="2"/>
  <c r="I412" i="2"/>
  <c r="K411" i="2"/>
  <c r="I411" i="2"/>
  <c r="S411" i="2" s="1"/>
  <c r="R410" i="2"/>
  <c r="K410" i="2"/>
  <c r="I410" i="2"/>
  <c r="S410" i="2" s="1"/>
  <c r="S409" i="2"/>
  <c r="K409" i="2"/>
  <c r="I409" i="2"/>
  <c r="S408" i="2"/>
  <c r="K408" i="2"/>
  <c r="I408" i="2"/>
  <c r="K407" i="2"/>
  <c r="I407" i="2"/>
  <c r="S407" i="2" s="1"/>
  <c r="R406" i="2"/>
  <c r="K406" i="2"/>
  <c r="I406" i="2"/>
  <c r="S406" i="2" s="1"/>
  <c r="S405" i="2"/>
  <c r="K405" i="2"/>
  <c r="I405" i="2"/>
  <c r="Q405" i="2" s="1"/>
  <c r="K404" i="2"/>
  <c r="I404" i="2"/>
  <c r="K403" i="2"/>
  <c r="I403" i="2"/>
  <c r="S403" i="2" s="1"/>
  <c r="R402" i="2"/>
  <c r="K402" i="2"/>
  <c r="I402" i="2"/>
  <c r="S402" i="2" s="1"/>
  <c r="K401" i="2"/>
  <c r="I401" i="2"/>
  <c r="K400" i="2"/>
  <c r="I400" i="2"/>
  <c r="S400" i="2" s="1"/>
  <c r="K399" i="2"/>
  <c r="I399" i="2"/>
  <c r="S399" i="2" s="1"/>
  <c r="R398" i="2"/>
  <c r="Q398" i="2"/>
  <c r="K398" i="2"/>
  <c r="I398" i="2"/>
  <c r="S398" i="2" s="1"/>
  <c r="S397" i="2"/>
  <c r="R397" i="2"/>
  <c r="K397" i="2"/>
  <c r="I397" i="2"/>
  <c r="Q397" i="2" s="1"/>
  <c r="K396" i="2"/>
  <c r="I396" i="2"/>
  <c r="K395" i="2"/>
  <c r="I395" i="2"/>
  <c r="S395" i="2" s="1"/>
  <c r="R394" i="2"/>
  <c r="Q394" i="2"/>
  <c r="K394" i="2"/>
  <c r="I394" i="2"/>
  <c r="S394" i="2" s="1"/>
  <c r="K393" i="2"/>
  <c r="I393" i="2"/>
  <c r="K392" i="2"/>
  <c r="I392" i="2"/>
  <c r="S392" i="2" s="1"/>
  <c r="Q391" i="2"/>
  <c r="K391" i="2"/>
  <c r="I391" i="2"/>
  <c r="S391" i="2" s="1"/>
  <c r="R390" i="2"/>
  <c r="Q390" i="2"/>
  <c r="K390" i="2"/>
  <c r="I390" i="2"/>
  <c r="S390" i="2" s="1"/>
  <c r="S389" i="2"/>
  <c r="R389" i="2"/>
  <c r="K389" i="2"/>
  <c r="I389" i="2"/>
  <c r="Q389" i="2" s="1"/>
  <c r="K388" i="2"/>
  <c r="I388" i="2"/>
  <c r="K387" i="2"/>
  <c r="I387" i="2"/>
  <c r="S387" i="2" s="1"/>
  <c r="R386" i="2"/>
  <c r="Q386" i="2"/>
  <c r="K386" i="2"/>
  <c r="I386" i="2"/>
  <c r="S386" i="2" s="1"/>
  <c r="S385" i="2"/>
  <c r="K385" i="2"/>
  <c r="I385" i="2"/>
  <c r="K384" i="2"/>
  <c r="I384" i="2"/>
  <c r="S384" i="2" s="1"/>
  <c r="K383" i="2"/>
  <c r="I383" i="2"/>
  <c r="S383" i="2" s="1"/>
  <c r="R382" i="2"/>
  <c r="K382" i="2"/>
  <c r="I382" i="2"/>
  <c r="S382" i="2" s="1"/>
  <c r="S381" i="2"/>
  <c r="K381" i="2"/>
  <c r="I381" i="2"/>
  <c r="Q381" i="2" s="1"/>
  <c r="K380" i="2"/>
  <c r="I380" i="2"/>
  <c r="K379" i="2"/>
  <c r="I379" i="2"/>
  <c r="S379" i="2" s="1"/>
  <c r="R378" i="2"/>
  <c r="K378" i="2"/>
  <c r="I378" i="2"/>
  <c r="S378" i="2" s="1"/>
  <c r="S377" i="2"/>
  <c r="K377" i="2"/>
  <c r="I377" i="2"/>
  <c r="S376" i="2"/>
  <c r="K376" i="2"/>
  <c r="I376" i="2"/>
  <c r="K375" i="2"/>
  <c r="I375" i="2"/>
  <c r="S375" i="2" s="1"/>
  <c r="R374" i="2"/>
  <c r="K374" i="2"/>
  <c r="I374" i="2"/>
  <c r="S374" i="2" s="1"/>
  <c r="S373" i="2"/>
  <c r="K373" i="2"/>
  <c r="I373" i="2"/>
  <c r="Q373" i="2" s="1"/>
  <c r="K372" i="2"/>
  <c r="I372" i="2"/>
  <c r="K371" i="2"/>
  <c r="I371" i="2"/>
  <c r="S371" i="2" s="1"/>
  <c r="R370" i="2"/>
  <c r="K370" i="2"/>
  <c r="I370" i="2"/>
  <c r="S370" i="2" s="1"/>
  <c r="K369" i="2"/>
  <c r="I369" i="2"/>
  <c r="K368" i="2"/>
  <c r="I368" i="2"/>
  <c r="S368" i="2" s="1"/>
  <c r="K367" i="2"/>
  <c r="I367" i="2"/>
  <c r="S367" i="2" s="1"/>
  <c r="R366" i="2"/>
  <c r="Q366" i="2"/>
  <c r="K366" i="2"/>
  <c r="I366" i="2"/>
  <c r="S366" i="2" s="1"/>
  <c r="S365" i="2"/>
  <c r="R365" i="2"/>
  <c r="K365" i="2"/>
  <c r="I365" i="2"/>
  <c r="Q365" i="2" s="1"/>
  <c r="K364" i="2"/>
  <c r="I364" i="2"/>
  <c r="K363" i="2"/>
  <c r="I363" i="2"/>
  <c r="S363" i="2" s="1"/>
  <c r="R362" i="2"/>
  <c r="Q362" i="2"/>
  <c r="K362" i="2"/>
  <c r="I362" i="2"/>
  <c r="S362" i="2" s="1"/>
  <c r="K361" i="2"/>
  <c r="I361" i="2"/>
  <c r="K360" i="2"/>
  <c r="I360" i="2"/>
  <c r="S360" i="2" s="1"/>
  <c r="Q359" i="2"/>
  <c r="K359" i="2"/>
  <c r="I359" i="2"/>
  <c r="S359" i="2" s="1"/>
  <c r="R358" i="2"/>
  <c r="Q358" i="2"/>
  <c r="K358" i="2"/>
  <c r="I358" i="2"/>
  <c r="S358" i="2" s="1"/>
  <c r="S357" i="2"/>
  <c r="R357" i="2"/>
  <c r="K357" i="2"/>
  <c r="I357" i="2"/>
  <c r="Q357" i="2" s="1"/>
  <c r="K356" i="2"/>
  <c r="I356" i="2"/>
  <c r="K355" i="2"/>
  <c r="I355" i="2"/>
  <c r="S355" i="2" s="1"/>
  <c r="R354" i="2"/>
  <c r="Q354" i="2"/>
  <c r="K354" i="2"/>
  <c r="I354" i="2"/>
  <c r="S354" i="2" s="1"/>
  <c r="S353" i="2"/>
  <c r="K353" i="2"/>
  <c r="I353" i="2"/>
  <c r="K352" i="2"/>
  <c r="I352" i="2"/>
  <c r="S352" i="2" s="1"/>
  <c r="K351" i="2"/>
  <c r="I351" i="2"/>
  <c r="S351" i="2" s="1"/>
  <c r="R350" i="2"/>
  <c r="K350" i="2"/>
  <c r="I350" i="2"/>
  <c r="S350" i="2" s="1"/>
  <c r="S349" i="2"/>
  <c r="K349" i="2"/>
  <c r="I349" i="2"/>
  <c r="Q349" i="2" s="1"/>
  <c r="K348" i="2"/>
  <c r="I348" i="2"/>
  <c r="K347" i="2"/>
  <c r="I347" i="2"/>
  <c r="S347" i="2" s="1"/>
  <c r="R346" i="2"/>
  <c r="K346" i="2"/>
  <c r="I346" i="2"/>
  <c r="S346" i="2" s="1"/>
  <c r="S345" i="2"/>
  <c r="K345" i="2"/>
  <c r="I345" i="2"/>
  <c r="Q345" i="2" s="1"/>
  <c r="S344" i="2"/>
  <c r="K344" i="2"/>
  <c r="I344" i="2"/>
  <c r="R343" i="2"/>
  <c r="K343" i="2"/>
  <c r="Q343" i="2" s="1"/>
  <c r="I343" i="2"/>
  <c r="S343" i="2" s="1"/>
  <c r="K342" i="2"/>
  <c r="Q342" i="2" s="1"/>
  <c r="I342" i="2"/>
  <c r="S342" i="2" s="1"/>
  <c r="R341" i="2"/>
  <c r="K341" i="2"/>
  <c r="I341" i="2"/>
  <c r="S341" i="2" s="1"/>
  <c r="K340" i="2"/>
  <c r="I340" i="2"/>
  <c r="R339" i="2"/>
  <c r="K339" i="2"/>
  <c r="Q339" i="2" s="1"/>
  <c r="I339" i="2"/>
  <c r="S339" i="2" s="1"/>
  <c r="R338" i="2"/>
  <c r="Q338" i="2"/>
  <c r="K338" i="2"/>
  <c r="I338" i="2"/>
  <c r="S338" i="2" s="1"/>
  <c r="K337" i="2"/>
  <c r="I337" i="2"/>
  <c r="K336" i="2"/>
  <c r="I336" i="2"/>
  <c r="R335" i="2"/>
  <c r="K335" i="2"/>
  <c r="Q335" i="2" s="1"/>
  <c r="I335" i="2"/>
  <c r="S335" i="2" s="1"/>
  <c r="K334" i="2"/>
  <c r="Q334" i="2" s="1"/>
  <c r="I334" i="2"/>
  <c r="S334" i="2" s="1"/>
  <c r="K333" i="2"/>
  <c r="I333" i="2"/>
  <c r="K332" i="2"/>
  <c r="I332" i="2"/>
  <c r="K331" i="2"/>
  <c r="I331" i="2"/>
  <c r="K330" i="2"/>
  <c r="I330" i="2"/>
  <c r="R330" i="2" s="1"/>
  <c r="K329" i="2"/>
  <c r="I329" i="2"/>
  <c r="R329" i="2" s="1"/>
  <c r="K328" i="2"/>
  <c r="I328" i="2"/>
  <c r="R327" i="2"/>
  <c r="K327" i="2"/>
  <c r="I327" i="2"/>
  <c r="S327" i="2" s="1"/>
  <c r="R326" i="2"/>
  <c r="K326" i="2"/>
  <c r="I326" i="2"/>
  <c r="S326" i="2" s="1"/>
  <c r="S325" i="2"/>
  <c r="K325" i="2"/>
  <c r="I325" i="2"/>
  <c r="R325" i="2" s="1"/>
  <c r="S324" i="2"/>
  <c r="K324" i="2"/>
  <c r="I324" i="2"/>
  <c r="R324" i="2" s="1"/>
  <c r="R323" i="2"/>
  <c r="K323" i="2"/>
  <c r="I323" i="2"/>
  <c r="S323" i="2" s="1"/>
  <c r="R322" i="2"/>
  <c r="K322" i="2"/>
  <c r="I322" i="2"/>
  <c r="S322" i="2" s="1"/>
  <c r="S321" i="2"/>
  <c r="K321" i="2"/>
  <c r="I321" i="2"/>
  <c r="K320" i="2"/>
  <c r="I320" i="2"/>
  <c r="K319" i="2"/>
  <c r="I319" i="2"/>
  <c r="K318" i="2"/>
  <c r="I318" i="2"/>
  <c r="Q318" i="2" s="1"/>
  <c r="K317" i="2"/>
  <c r="I317" i="2"/>
  <c r="K316" i="2"/>
  <c r="I316" i="2"/>
  <c r="S316" i="2" s="1"/>
  <c r="K315" i="2"/>
  <c r="I315" i="2"/>
  <c r="S315" i="2" s="1"/>
  <c r="Q314" i="2"/>
  <c r="K314" i="2"/>
  <c r="I314" i="2"/>
  <c r="R314" i="2" s="1"/>
  <c r="K313" i="2"/>
  <c r="I313" i="2"/>
  <c r="R313" i="2" s="1"/>
  <c r="K312" i="2"/>
  <c r="I312" i="2"/>
  <c r="R311" i="2"/>
  <c r="Q311" i="2"/>
  <c r="K311" i="2"/>
  <c r="I311" i="2"/>
  <c r="S311" i="2" s="1"/>
  <c r="R310" i="2"/>
  <c r="Q310" i="2"/>
  <c r="K310" i="2"/>
  <c r="I310" i="2"/>
  <c r="S310" i="2" s="1"/>
  <c r="S309" i="2"/>
  <c r="R309" i="2"/>
  <c r="K309" i="2"/>
  <c r="I309" i="2"/>
  <c r="S308" i="2"/>
  <c r="Q308" i="2"/>
  <c r="K308" i="2"/>
  <c r="I308" i="2"/>
  <c r="R308" i="2" s="1"/>
  <c r="R307" i="2"/>
  <c r="Q307" i="2"/>
  <c r="K307" i="2"/>
  <c r="I307" i="2"/>
  <c r="S307" i="2" s="1"/>
  <c r="R306" i="2"/>
  <c r="K306" i="2"/>
  <c r="I306" i="2"/>
  <c r="S306" i="2" s="1"/>
  <c r="K305" i="2"/>
  <c r="I305" i="2"/>
  <c r="K304" i="2"/>
  <c r="I304" i="2"/>
  <c r="R304" i="2" s="1"/>
  <c r="R303" i="2"/>
  <c r="K303" i="2"/>
  <c r="Q303" i="2" s="1"/>
  <c r="I303" i="2"/>
  <c r="S303" i="2" s="1"/>
  <c r="K302" i="2"/>
  <c r="Q302" i="2" s="1"/>
  <c r="I302" i="2"/>
  <c r="S302" i="2" s="1"/>
  <c r="K301" i="2"/>
  <c r="I301" i="2"/>
  <c r="K300" i="2"/>
  <c r="I300" i="2"/>
  <c r="R300" i="2" s="1"/>
  <c r="R299" i="2"/>
  <c r="K299" i="2"/>
  <c r="I299" i="2"/>
  <c r="S299" i="2" s="1"/>
  <c r="R298" i="2"/>
  <c r="K298" i="2"/>
  <c r="I298" i="2"/>
  <c r="S298" i="2" s="1"/>
  <c r="S297" i="2"/>
  <c r="K297" i="2"/>
  <c r="I297" i="2"/>
  <c r="R297" i="2" s="1"/>
  <c r="S296" i="2"/>
  <c r="K296" i="2"/>
  <c r="Q296" i="2" s="1"/>
  <c r="I296" i="2"/>
  <c r="R296" i="2" s="1"/>
  <c r="R295" i="2"/>
  <c r="K295" i="2"/>
  <c r="Q295" i="2" s="1"/>
  <c r="I295" i="2"/>
  <c r="S295" i="2" s="1"/>
  <c r="K294" i="2"/>
  <c r="I294" i="2"/>
  <c r="S294" i="2" s="1"/>
  <c r="K293" i="2"/>
  <c r="I293" i="2"/>
  <c r="K292" i="2"/>
  <c r="I292" i="2"/>
  <c r="K291" i="2"/>
  <c r="I291" i="2"/>
  <c r="K290" i="2"/>
  <c r="I290" i="2"/>
  <c r="S290" i="2" s="1"/>
  <c r="S289" i="2"/>
  <c r="K289" i="2"/>
  <c r="I289" i="2"/>
  <c r="R289" i="2" s="1"/>
  <c r="S288" i="2"/>
  <c r="K288" i="2"/>
  <c r="I288" i="2"/>
  <c r="R288" i="2" s="1"/>
  <c r="K287" i="2"/>
  <c r="I287" i="2"/>
  <c r="K286" i="2"/>
  <c r="I286" i="2"/>
  <c r="S286" i="2" s="1"/>
  <c r="R285" i="2"/>
  <c r="K285" i="2"/>
  <c r="I285" i="2"/>
  <c r="K284" i="2"/>
  <c r="Q284" i="2" s="1"/>
  <c r="I284" i="2"/>
  <c r="R284" i="2" s="1"/>
  <c r="K283" i="2"/>
  <c r="Q283" i="2" s="1"/>
  <c r="I283" i="2"/>
  <c r="S283" i="2" s="1"/>
  <c r="K282" i="2"/>
  <c r="Q282" i="2" s="1"/>
  <c r="I282" i="2"/>
  <c r="S282" i="2" s="1"/>
  <c r="R281" i="2"/>
  <c r="K281" i="2"/>
  <c r="I281" i="2"/>
  <c r="S281" i="2" s="1"/>
  <c r="K280" i="2"/>
  <c r="I280" i="2"/>
  <c r="K279" i="2"/>
  <c r="I279" i="2"/>
  <c r="S279" i="2" s="1"/>
  <c r="K278" i="2"/>
  <c r="I278" i="2"/>
  <c r="K277" i="2"/>
  <c r="I277" i="2"/>
  <c r="K276" i="2"/>
  <c r="I276" i="2"/>
  <c r="K275" i="2"/>
  <c r="Q275" i="2" s="1"/>
  <c r="I275" i="2"/>
  <c r="S275" i="2" s="1"/>
  <c r="K274" i="2"/>
  <c r="I274" i="2"/>
  <c r="K273" i="2"/>
  <c r="I273" i="2"/>
  <c r="R273" i="2" s="1"/>
  <c r="I272" i="2"/>
  <c r="K271" i="2"/>
  <c r="I271" i="2"/>
  <c r="R270" i="2"/>
  <c r="Q270" i="2"/>
  <c r="K270" i="2"/>
  <c r="I270" i="2"/>
  <c r="S270" i="2" s="1"/>
  <c r="R269" i="2"/>
  <c r="K269" i="2"/>
  <c r="I269" i="2"/>
  <c r="S269" i="2" s="1"/>
  <c r="K268" i="2"/>
  <c r="I268" i="2"/>
  <c r="K267" i="2"/>
  <c r="I267" i="2"/>
  <c r="R267" i="2" s="1"/>
  <c r="R266" i="2"/>
  <c r="K266" i="2"/>
  <c r="Q266" i="2" s="1"/>
  <c r="I266" i="2"/>
  <c r="S266" i="2" s="1"/>
  <c r="K265" i="2"/>
  <c r="Q265" i="2" s="1"/>
  <c r="I265" i="2"/>
  <c r="S265" i="2" s="1"/>
  <c r="K264" i="2"/>
  <c r="I264" i="2"/>
  <c r="K263" i="2"/>
  <c r="I263" i="2"/>
  <c r="R263" i="2" s="1"/>
  <c r="R262" i="2"/>
  <c r="K262" i="2"/>
  <c r="I262" i="2"/>
  <c r="S262" i="2" s="1"/>
  <c r="R261" i="2"/>
  <c r="K261" i="2"/>
  <c r="I261" i="2"/>
  <c r="S261" i="2" s="1"/>
  <c r="S260" i="2"/>
  <c r="K260" i="2"/>
  <c r="I260" i="2"/>
  <c r="R260" i="2" s="1"/>
  <c r="S259" i="2"/>
  <c r="K259" i="2"/>
  <c r="Q259" i="2" s="1"/>
  <c r="I259" i="2"/>
  <c r="R259" i="2" s="1"/>
  <c r="R258" i="2"/>
  <c r="K258" i="2"/>
  <c r="Q258" i="2" s="1"/>
  <c r="I258" i="2"/>
  <c r="S258" i="2" s="1"/>
  <c r="K257" i="2"/>
  <c r="I257" i="2"/>
  <c r="S257" i="2" s="1"/>
  <c r="K256" i="2"/>
  <c r="I256" i="2"/>
  <c r="K255" i="2"/>
  <c r="I255" i="2"/>
  <c r="K254" i="2"/>
  <c r="I254" i="2"/>
  <c r="K253" i="2"/>
  <c r="I253" i="2"/>
  <c r="S253" i="2" s="1"/>
  <c r="S252" i="2"/>
  <c r="K252" i="2"/>
  <c r="I252" i="2"/>
  <c r="R252" i="2" s="1"/>
  <c r="S251" i="2"/>
  <c r="K251" i="2"/>
  <c r="I251" i="2"/>
  <c r="R251" i="2" s="1"/>
  <c r="K250" i="2"/>
  <c r="I250" i="2"/>
  <c r="K249" i="2"/>
  <c r="I249" i="2"/>
  <c r="S249" i="2" s="1"/>
  <c r="R248" i="2"/>
  <c r="K248" i="2"/>
  <c r="I248" i="2"/>
  <c r="K247" i="2"/>
  <c r="Q247" i="2" s="1"/>
  <c r="I247" i="2"/>
  <c r="R247" i="2" s="1"/>
  <c r="K246" i="2"/>
  <c r="Q246" i="2" s="1"/>
  <c r="I246" i="2"/>
  <c r="S246" i="2" s="1"/>
  <c r="K245" i="2"/>
  <c r="Q245" i="2" s="1"/>
  <c r="I245" i="2"/>
  <c r="S245" i="2" s="1"/>
  <c r="R244" i="2"/>
  <c r="K244" i="2"/>
  <c r="I244" i="2"/>
  <c r="S244" i="2" s="1"/>
  <c r="K243" i="2"/>
  <c r="I243" i="2"/>
  <c r="K242" i="2"/>
  <c r="I242" i="2"/>
  <c r="S242" i="2" s="1"/>
  <c r="K241" i="2"/>
  <c r="I241" i="2"/>
  <c r="K240" i="2"/>
  <c r="I240" i="2"/>
  <c r="K239" i="2"/>
  <c r="I239" i="2"/>
  <c r="K238" i="2"/>
  <c r="Q238" i="2" s="1"/>
  <c r="I238" i="2"/>
  <c r="S238" i="2" s="1"/>
  <c r="K237" i="2"/>
  <c r="I237" i="2"/>
  <c r="K236" i="2"/>
  <c r="I236" i="2"/>
  <c r="R236" i="2" s="1"/>
  <c r="S235" i="2"/>
  <c r="K235" i="2"/>
  <c r="I235" i="2"/>
  <c r="R235" i="2" s="1"/>
  <c r="R234" i="2"/>
  <c r="K234" i="2"/>
  <c r="Q234" i="2" s="1"/>
  <c r="I234" i="2"/>
  <c r="S234" i="2" s="1"/>
  <c r="K233" i="2"/>
  <c r="I233" i="2"/>
  <c r="K232" i="2"/>
  <c r="I232" i="2"/>
  <c r="Q232" i="2" s="1"/>
  <c r="Q231" i="2"/>
  <c r="K231" i="2"/>
  <c r="I231" i="2"/>
  <c r="R231" i="2" s="1"/>
  <c r="R230" i="2"/>
  <c r="Q230" i="2"/>
  <c r="K230" i="2"/>
  <c r="I230" i="2"/>
  <c r="S230" i="2" s="1"/>
  <c r="R229" i="2"/>
  <c r="Q229" i="2"/>
  <c r="K229" i="2"/>
  <c r="I229" i="2"/>
  <c r="S229" i="2" s="1"/>
  <c r="S228" i="2"/>
  <c r="R228" i="2"/>
  <c r="K228" i="2"/>
  <c r="I228" i="2"/>
  <c r="S227" i="2"/>
  <c r="K227" i="2"/>
  <c r="Q227" i="2" s="1"/>
  <c r="I227" i="2"/>
  <c r="R227" i="2" s="1"/>
  <c r="K226" i="2"/>
  <c r="I226" i="2"/>
  <c r="K225" i="2"/>
  <c r="I225" i="2"/>
  <c r="S225" i="2" s="1"/>
  <c r="K224" i="2"/>
  <c r="I224" i="2"/>
  <c r="K223" i="2"/>
  <c r="I223" i="2"/>
  <c r="R222" i="2"/>
  <c r="K222" i="2"/>
  <c r="I222" i="2"/>
  <c r="S222" i="2" s="1"/>
  <c r="R221" i="2"/>
  <c r="K221" i="2"/>
  <c r="I221" i="2"/>
  <c r="S221" i="2" s="1"/>
  <c r="S220" i="2"/>
  <c r="K220" i="2"/>
  <c r="I220" i="2"/>
  <c r="R220" i="2" s="1"/>
  <c r="K219" i="2"/>
  <c r="I219" i="2"/>
  <c r="K218" i="2"/>
  <c r="I218" i="2"/>
  <c r="S218" i="2" s="1"/>
  <c r="Q217" i="2"/>
  <c r="K217" i="2"/>
  <c r="I217" i="2"/>
  <c r="K216" i="2"/>
  <c r="I216" i="2"/>
  <c r="K215" i="2"/>
  <c r="I215" i="2"/>
  <c r="Q215" i="2" s="1"/>
  <c r="R214" i="2"/>
  <c r="K214" i="2"/>
  <c r="I214" i="2"/>
  <c r="S214" i="2" s="1"/>
  <c r="R213" i="2"/>
  <c r="K213" i="2"/>
  <c r="I213" i="2"/>
  <c r="S213" i="2" s="1"/>
  <c r="S212" i="2"/>
  <c r="K212" i="2"/>
  <c r="I212" i="2"/>
  <c r="R212" i="2" s="1"/>
  <c r="S211" i="2"/>
  <c r="K211" i="2"/>
  <c r="Q211" i="2" s="1"/>
  <c r="I211" i="2"/>
  <c r="R211" i="2" s="1"/>
  <c r="R210" i="2"/>
  <c r="K210" i="2"/>
  <c r="Q210" i="2" s="1"/>
  <c r="I210" i="2"/>
  <c r="S210" i="2" s="1"/>
  <c r="K209" i="2"/>
  <c r="I209" i="2"/>
  <c r="K208" i="2"/>
  <c r="I208" i="2"/>
  <c r="K207" i="2"/>
  <c r="I207" i="2"/>
  <c r="Q207" i="2" s="1"/>
  <c r="K206" i="2"/>
  <c r="I206" i="2"/>
  <c r="K205" i="2"/>
  <c r="I205" i="2"/>
  <c r="S205" i="2" s="1"/>
  <c r="S204" i="2"/>
  <c r="K204" i="2"/>
  <c r="I204" i="2"/>
  <c r="R204" i="2" s="1"/>
  <c r="S203" i="2"/>
  <c r="K203" i="2"/>
  <c r="I203" i="2"/>
  <c r="R203" i="2" s="1"/>
  <c r="K202" i="2"/>
  <c r="I202" i="2"/>
  <c r="K201" i="2"/>
  <c r="I201" i="2"/>
  <c r="K200" i="2"/>
  <c r="I200" i="2"/>
  <c r="R200" i="2" s="1"/>
  <c r="K199" i="2"/>
  <c r="I199" i="2"/>
  <c r="K198" i="2"/>
  <c r="Q198" i="2" s="1"/>
  <c r="I198" i="2"/>
  <c r="S198" i="2" s="1"/>
  <c r="K197" i="2"/>
  <c r="Q197" i="2" s="1"/>
  <c r="I197" i="2"/>
  <c r="S197" i="2" s="1"/>
  <c r="R196" i="2"/>
  <c r="K196" i="2"/>
  <c r="I196" i="2"/>
  <c r="S196" i="2" s="1"/>
  <c r="K195" i="2"/>
  <c r="I195" i="2"/>
  <c r="K194" i="2"/>
  <c r="I194" i="2"/>
  <c r="S194" i="2" s="1"/>
  <c r="S193" i="2"/>
  <c r="K193" i="2"/>
  <c r="I193" i="2"/>
  <c r="Q193" i="2" s="1"/>
  <c r="S192" i="2"/>
  <c r="K192" i="2"/>
  <c r="I192" i="2"/>
  <c r="K191" i="2"/>
  <c r="I191" i="2"/>
  <c r="S191" i="2" s="1"/>
  <c r="K190" i="2"/>
  <c r="I190" i="2"/>
  <c r="K189" i="2"/>
  <c r="I189" i="2"/>
  <c r="S188" i="2"/>
  <c r="K188" i="2"/>
  <c r="I188" i="2"/>
  <c r="K187" i="2"/>
  <c r="I187" i="2"/>
  <c r="S187" i="2" s="1"/>
  <c r="K186" i="2"/>
  <c r="I186" i="2"/>
  <c r="S186" i="2" s="1"/>
  <c r="K185" i="2"/>
  <c r="I185" i="2"/>
  <c r="K184" i="2"/>
  <c r="I184" i="2"/>
  <c r="K183" i="2"/>
  <c r="I183" i="2"/>
  <c r="S183" i="2" s="1"/>
  <c r="K182" i="2"/>
  <c r="I182" i="2"/>
  <c r="K181" i="2"/>
  <c r="I181" i="2"/>
  <c r="S181" i="2" s="1"/>
  <c r="K180" i="2"/>
  <c r="I180" i="2"/>
  <c r="K179" i="2"/>
  <c r="I179" i="2"/>
  <c r="R178" i="2"/>
  <c r="K178" i="2"/>
  <c r="Q178" i="2" s="1"/>
  <c r="I178" i="2"/>
  <c r="S178" i="2" s="1"/>
  <c r="R177" i="2"/>
  <c r="Q177" i="2"/>
  <c r="K177" i="2"/>
  <c r="I177" i="2"/>
  <c r="S177" i="2" s="1"/>
  <c r="S176" i="2"/>
  <c r="R176" i="2"/>
  <c r="K176" i="2"/>
  <c r="I176" i="2"/>
  <c r="S175" i="2"/>
  <c r="K175" i="2"/>
  <c r="Q175" i="2" s="1"/>
  <c r="I175" i="2"/>
  <c r="R175" i="2" s="1"/>
  <c r="K174" i="2"/>
  <c r="I174" i="2"/>
  <c r="K173" i="2"/>
  <c r="I173" i="2"/>
  <c r="K172" i="2"/>
  <c r="I172" i="2"/>
  <c r="K171" i="2"/>
  <c r="I171" i="2"/>
  <c r="K170" i="2"/>
  <c r="I170" i="2"/>
  <c r="K169" i="2"/>
  <c r="I169" i="2"/>
  <c r="K168" i="2"/>
  <c r="I168" i="2"/>
  <c r="S168" i="2" s="1"/>
  <c r="K167" i="2"/>
  <c r="I167" i="2"/>
  <c r="S167" i="2" s="1"/>
  <c r="R166" i="2"/>
  <c r="K166" i="2"/>
  <c r="Q166" i="2" s="1"/>
  <c r="I166" i="2"/>
  <c r="S166" i="2" s="1"/>
  <c r="K165" i="2"/>
  <c r="I165" i="2"/>
  <c r="S165" i="2" s="1"/>
  <c r="K164" i="2"/>
  <c r="I164" i="2"/>
  <c r="K163" i="2"/>
  <c r="I163" i="2"/>
  <c r="K162" i="2"/>
  <c r="I162" i="2"/>
  <c r="S162" i="2" s="1"/>
  <c r="R161" i="2"/>
  <c r="K161" i="2"/>
  <c r="I161" i="2"/>
  <c r="S161" i="2" s="1"/>
  <c r="S160" i="2"/>
  <c r="K160" i="2"/>
  <c r="I160" i="2"/>
  <c r="R160" i="2" s="1"/>
  <c r="S159" i="2"/>
  <c r="K159" i="2"/>
  <c r="Q159" i="2" s="1"/>
  <c r="I159" i="2"/>
  <c r="R159" i="2" s="1"/>
  <c r="R158" i="2"/>
  <c r="K158" i="2"/>
  <c r="Q158" i="2" s="1"/>
  <c r="I158" i="2"/>
  <c r="S158" i="2" s="1"/>
  <c r="K157" i="2"/>
  <c r="Q157" i="2" s="1"/>
  <c r="I157" i="2"/>
  <c r="S157" i="2" s="1"/>
  <c r="R156" i="2"/>
  <c r="K156" i="2"/>
  <c r="I156" i="2"/>
  <c r="S156" i="2" s="1"/>
  <c r="K155" i="2"/>
  <c r="Q155" i="2" s="1"/>
  <c r="I155" i="2"/>
  <c r="R155" i="2" s="1"/>
  <c r="K154" i="2"/>
  <c r="Q154" i="2" s="1"/>
  <c r="I154" i="2"/>
  <c r="S154" i="2" s="1"/>
  <c r="K153" i="2"/>
  <c r="I153" i="2"/>
  <c r="Q153" i="2" s="1"/>
  <c r="S152" i="2"/>
  <c r="K152" i="2"/>
  <c r="I152" i="2"/>
  <c r="S151" i="2"/>
  <c r="K151" i="2"/>
  <c r="I151" i="2"/>
  <c r="K150" i="2"/>
  <c r="I150" i="2"/>
  <c r="K149" i="2"/>
  <c r="I149" i="2"/>
  <c r="K148" i="2"/>
  <c r="I148" i="2"/>
  <c r="K147" i="2"/>
  <c r="I147" i="2"/>
  <c r="R146" i="2"/>
  <c r="K146" i="2"/>
  <c r="Q146" i="2" s="1"/>
  <c r="I146" i="2"/>
  <c r="S146" i="2" s="1"/>
  <c r="K145" i="2"/>
  <c r="Q145" i="2" s="1"/>
  <c r="I145" i="2"/>
  <c r="S145" i="2" s="1"/>
  <c r="R144" i="2"/>
  <c r="K144" i="2"/>
  <c r="I144" i="2"/>
  <c r="S144" i="2" s="1"/>
  <c r="K143" i="2"/>
  <c r="I143" i="2"/>
  <c r="R142" i="2"/>
  <c r="K142" i="2"/>
  <c r="Q142" i="2" s="1"/>
  <c r="I142" i="2"/>
  <c r="S142" i="2" s="1"/>
  <c r="R141" i="2"/>
  <c r="Q141" i="2"/>
  <c r="K141" i="2"/>
  <c r="I141" i="2"/>
  <c r="S141" i="2" s="1"/>
  <c r="S140" i="2"/>
  <c r="R140" i="2"/>
  <c r="K140" i="2"/>
  <c r="I140" i="2"/>
  <c r="S139" i="2"/>
  <c r="Q139" i="2"/>
  <c r="K139" i="2"/>
  <c r="I139" i="2"/>
  <c r="R139" i="2" s="1"/>
  <c r="R138" i="2"/>
  <c r="Q138" i="2"/>
  <c r="K138" i="2"/>
  <c r="I138" i="2"/>
  <c r="S138" i="2" s="1"/>
  <c r="R137" i="2"/>
  <c r="Q137" i="2"/>
  <c r="K137" i="2"/>
  <c r="I137" i="2"/>
  <c r="S137" i="2" s="1"/>
  <c r="S136" i="2"/>
  <c r="R136" i="2"/>
  <c r="K136" i="2"/>
  <c r="I136" i="2"/>
  <c r="S135" i="2"/>
  <c r="Q135" i="2"/>
  <c r="K135" i="2"/>
  <c r="I135" i="2"/>
  <c r="R135" i="2" s="1"/>
  <c r="S134" i="2"/>
  <c r="R134" i="2"/>
  <c r="K134" i="2"/>
  <c r="I134" i="2"/>
  <c r="K133" i="2"/>
  <c r="I133" i="2"/>
  <c r="S133" i="2" s="1"/>
  <c r="K132" i="2"/>
  <c r="I132" i="2"/>
  <c r="R131" i="2"/>
  <c r="Q131" i="2"/>
  <c r="K131" i="2"/>
  <c r="I131" i="2"/>
  <c r="S131" i="2" s="1"/>
  <c r="K130" i="2"/>
  <c r="I130" i="2"/>
  <c r="Q130" i="2" s="1"/>
  <c r="K129" i="2"/>
  <c r="I129" i="2"/>
  <c r="R128" i="2"/>
  <c r="K128" i="2"/>
  <c r="Q128" i="2" s="1"/>
  <c r="I128" i="2"/>
  <c r="S128" i="2" s="1"/>
  <c r="R127" i="2"/>
  <c r="K127" i="2"/>
  <c r="Q127" i="2" s="1"/>
  <c r="I127" i="2"/>
  <c r="S127" i="2" s="1"/>
  <c r="K126" i="2"/>
  <c r="I126" i="2"/>
  <c r="Q126" i="2" s="1"/>
  <c r="S125" i="2"/>
  <c r="K125" i="2"/>
  <c r="I125" i="2"/>
  <c r="R124" i="2"/>
  <c r="Q124" i="2"/>
  <c r="K124" i="2"/>
  <c r="I124" i="2"/>
  <c r="S124" i="2" s="1"/>
  <c r="R123" i="2"/>
  <c r="Q123" i="2"/>
  <c r="K123" i="2"/>
  <c r="I123" i="2"/>
  <c r="S123" i="2" s="1"/>
  <c r="S122" i="2"/>
  <c r="R122" i="2"/>
  <c r="K122" i="2"/>
  <c r="I122" i="2"/>
  <c r="Q122" i="2" s="1"/>
  <c r="S121" i="2"/>
  <c r="K121" i="2"/>
  <c r="I121" i="2"/>
  <c r="R120" i="2"/>
  <c r="K120" i="2"/>
  <c r="Q120" i="2" s="1"/>
  <c r="I120" i="2"/>
  <c r="S120" i="2" s="1"/>
  <c r="K119" i="2"/>
  <c r="I119" i="2"/>
  <c r="S119" i="2" s="1"/>
  <c r="K118" i="2"/>
  <c r="I118" i="2"/>
  <c r="Q118" i="2" s="1"/>
  <c r="K117" i="2"/>
  <c r="I117" i="2"/>
  <c r="S117" i="2" s="1"/>
  <c r="R116" i="2"/>
  <c r="K116" i="2"/>
  <c r="Q116" i="2" s="1"/>
  <c r="I116" i="2"/>
  <c r="S116" i="2" s="1"/>
  <c r="R115" i="2"/>
  <c r="K115" i="2"/>
  <c r="Q115" i="2" s="1"/>
  <c r="I115" i="2"/>
  <c r="S115" i="2" s="1"/>
  <c r="K114" i="2"/>
  <c r="I114" i="2"/>
  <c r="Q114" i="2" s="1"/>
  <c r="K113" i="2"/>
  <c r="I113" i="2"/>
  <c r="S113" i="2" s="1"/>
  <c r="K112" i="2"/>
  <c r="I112" i="2"/>
  <c r="S112" i="2" s="1"/>
  <c r="K111" i="2"/>
  <c r="I111" i="2"/>
  <c r="S111" i="2" s="1"/>
  <c r="K110" i="2"/>
  <c r="I110" i="2"/>
  <c r="Q110" i="2" s="1"/>
  <c r="S109" i="2"/>
  <c r="K109" i="2"/>
  <c r="I109" i="2"/>
  <c r="R108" i="2"/>
  <c r="K108" i="2"/>
  <c r="Q108" i="2" s="1"/>
  <c r="I108" i="2"/>
  <c r="S108" i="2" s="1"/>
  <c r="R107" i="2"/>
  <c r="K107" i="2"/>
  <c r="Q107" i="2" s="1"/>
  <c r="I107" i="2"/>
  <c r="S107" i="2" s="1"/>
  <c r="S106" i="2"/>
  <c r="R106" i="2"/>
  <c r="K106" i="2"/>
  <c r="I106" i="2"/>
  <c r="K105" i="2"/>
  <c r="I105" i="2"/>
  <c r="S105" i="2" s="1"/>
  <c r="K104" i="2"/>
  <c r="I104" i="2"/>
  <c r="S104" i="2" s="1"/>
  <c r="K103" i="2"/>
  <c r="I103" i="2"/>
  <c r="S103" i="2" s="1"/>
  <c r="K102" i="2"/>
  <c r="I102" i="2"/>
  <c r="Q102" i="2" s="1"/>
  <c r="K101" i="2"/>
  <c r="I101" i="2"/>
  <c r="S101" i="2" s="1"/>
  <c r="R100" i="2"/>
  <c r="K100" i="2"/>
  <c r="Q100" i="2" s="1"/>
  <c r="I100" i="2"/>
  <c r="S100" i="2" s="1"/>
  <c r="K99" i="2"/>
  <c r="Q99" i="2" s="1"/>
  <c r="I99" i="2"/>
  <c r="S99" i="2" s="1"/>
  <c r="K98" i="2"/>
  <c r="I98" i="2"/>
  <c r="Q98" i="2" s="1"/>
  <c r="K97" i="2"/>
  <c r="I97" i="2"/>
  <c r="K96" i="2"/>
  <c r="I96" i="2"/>
  <c r="S96" i="2" s="1"/>
  <c r="K95" i="2"/>
  <c r="I95" i="2"/>
  <c r="S95" i="2" s="1"/>
  <c r="K94" i="2"/>
  <c r="I94" i="2"/>
  <c r="Q94" i="2" s="1"/>
  <c r="S93" i="2"/>
  <c r="K93" i="2"/>
  <c r="I93" i="2"/>
  <c r="R92" i="2"/>
  <c r="K92" i="2"/>
  <c r="Q92" i="2" s="1"/>
  <c r="I92" i="2"/>
  <c r="S92" i="2" s="1"/>
  <c r="R91" i="2"/>
  <c r="K91" i="2"/>
  <c r="Q91" i="2" s="1"/>
  <c r="I91" i="2"/>
  <c r="S91" i="2" s="1"/>
  <c r="R90" i="2"/>
  <c r="K90" i="2"/>
  <c r="I90" i="2"/>
  <c r="S90" i="2" s="1"/>
  <c r="K89" i="2"/>
  <c r="I89" i="2"/>
  <c r="S89" i="2" s="1"/>
  <c r="K88" i="2"/>
  <c r="I88" i="2"/>
  <c r="S88" i="2" s="1"/>
  <c r="K87" i="2"/>
  <c r="I87" i="2"/>
  <c r="S87" i="2" s="1"/>
  <c r="K86" i="2"/>
  <c r="I86" i="2"/>
  <c r="Q86" i="2" s="1"/>
  <c r="K85" i="2"/>
  <c r="I85" i="2"/>
  <c r="S85" i="2" s="1"/>
  <c r="K84" i="2"/>
  <c r="Q84" i="2" s="1"/>
  <c r="I84" i="2"/>
  <c r="S84" i="2" s="1"/>
  <c r="K83" i="2"/>
  <c r="I83" i="2"/>
  <c r="S83" i="2" s="1"/>
  <c r="K82" i="2"/>
  <c r="I82" i="2"/>
  <c r="S82" i="2" s="1"/>
  <c r="K81" i="2"/>
  <c r="I81" i="2"/>
  <c r="R81" i="2" s="1"/>
  <c r="K80" i="2"/>
  <c r="I80" i="2"/>
  <c r="S80" i="2" s="1"/>
  <c r="K79" i="2"/>
  <c r="I79" i="2"/>
  <c r="S79" i="2" s="1"/>
  <c r="K78" i="2"/>
  <c r="I78" i="2"/>
  <c r="S78" i="2" s="1"/>
  <c r="K77" i="2"/>
  <c r="I77" i="2"/>
  <c r="R77" i="2" s="1"/>
  <c r="K76" i="2"/>
  <c r="I76" i="2"/>
  <c r="S76" i="2" s="1"/>
  <c r="K75" i="2"/>
  <c r="I75" i="2"/>
  <c r="R75" i="2" s="1"/>
  <c r="K74" i="2"/>
  <c r="I74" i="2"/>
  <c r="S74" i="2" s="1"/>
  <c r="K73" i="2"/>
  <c r="I73" i="2"/>
  <c r="S73" i="2" s="1"/>
  <c r="K72" i="2"/>
  <c r="I72" i="2"/>
  <c r="S72" i="2" s="1"/>
  <c r="K71" i="2"/>
  <c r="I71" i="2"/>
  <c r="R71" i="2" s="1"/>
  <c r="I70" i="2"/>
  <c r="S70" i="2" s="1"/>
  <c r="K69" i="2"/>
  <c r="I69" i="2"/>
  <c r="S69" i="2" s="1"/>
  <c r="Q68" i="2"/>
  <c r="K68" i="2"/>
  <c r="I68" i="2"/>
  <c r="S68" i="2" s="1"/>
  <c r="Q67" i="2"/>
  <c r="K67" i="2"/>
  <c r="I67" i="2"/>
  <c r="S67" i="2" s="1"/>
  <c r="K66" i="2"/>
  <c r="I66" i="2"/>
  <c r="R66" i="2" s="1"/>
  <c r="K65" i="2"/>
  <c r="I65" i="2"/>
  <c r="S65" i="2" s="1"/>
  <c r="Q64" i="2"/>
  <c r="K64" i="2"/>
  <c r="I64" i="2"/>
  <c r="S64" i="2" s="1"/>
  <c r="Q63" i="2"/>
  <c r="K63" i="2"/>
  <c r="I63" i="2"/>
  <c r="S63" i="2" s="1"/>
  <c r="K62" i="2"/>
  <c r="I62" i="2"/>
  <c r="R62" i="2" s="1"/>
  <c r="K61" i="2"/>
  <c r="I61" i="2"/>
  <c r="S61" i="2" s="1"/>
  <c r="Q60" i="2"/>
  <c r="K60" i="2"/>
  <c r="I60" i="2"/>
  <c r="S60" i="2" s="1"/>
  <c r="Q59" i="2"/>
  <c r="K59" i="2"/>
  <c r="I59" i="2"/>
  <c r="S59" i="2" s="1"/>
  <c r="K58" i="2"/>
  <c r="I58" i="2"/>
  <c r="R58" i="2" s="1"/>
  <c r="K57" i="2"/>
  <c r="I57" i="2"/>
  <c r="S57" i="2" s="1"/>
  <c r="Q56" i="2"/>
  <c r="K56" i="2"/>
  <c r="I56" i="2"/>
  <c r="S56" i="2" s="1"/>
  <c r="Q55" i="2"/>
  <c r="K55" i="2"/>
  <c r="I55" i="2"/>
  <c r="S55" i="2" s="1"/>
  <c r="K54" i="2"/>
  <c r="I54" i="2"/>
  <c r="R54" i="2" s="1"/>
  <c r="K53" i="2"/>
  <c r="I53" i="2"/>
  <c r="S53" i="2" s="1"/>
  <c r="Q52" i="2"/>
  <c r="K52" i="2"/>
  <c r="I52" i="2"/>
  <c r="S52" i="2" s="1"/>
  <c r="Q51" i="2"/>
  <c r="K51" i="2"/>
  <c r="I51" i="2"/>
  <c r="S51" i="2" s="1"/>
  <c r="K50" i="2"/>
  <c r="I50" i="2"/>
  <c r="R50" i="2" s="1"/>
  <c r="K49" i="2"/>
  <c r="I49" i="2"/>
  <c r="S49" i="2" s="1"/>
  <c r="Q48" i="2"/>
  <c r="K48" i="2"/>
  <c r="I48" i="2"/>
  <c r="S48" i="2" s="1"/>
  <c r="Q47" i="2"/>
  <c r="K47" i="2"/>
  <c r="I47" i="2"/>
  <c r="S47" i="2" s="1"/>
  <c r="K46" i="2"/>
  <c r="I46" i="2"/>
  <c r="R46" i="2" s="1"/>
  <c r="K45" i="2"/>
  <c r="I45" i="2"/>
  <c r="S45" i="2" s="1"/>
  <c r="Q44" i="2"/>
  <c r="K44" i="2"/>
  <c r="I44" i="2"/>
  <c r="S44" i="2" s="1"/>
  <c r="Q43" i="2"/>
  <c r="K43" i="2"/>
  <c r="I43" i="2"/>
  <c r="S43" i="2" s="1"/>
  <c r="K42" i="2"/>
  <c r="I42" i="2"/>
  <c r="R42" i="2" s="1"/>
  <c r="K41" i="2"/>
  <c r="I41" i="2"/>
  <c r="S41" i="2" s="1"/>
  <c r="Q40" i="2"/>
  <c r="K40" i="2"/>
  <c r="I40" i="2"/>
  <c r="S40" i="2" s="1"/>
  <c r="Q39" i="2"/>
  <c r="K39" i="2"/>
  <c r="I39" i="2"/>
  <c r="S39" i="2" s="1"/>
  <c r="K38" i="2"/>
  <c r="I38" i="2"/>
  <c r="R38" i="2" s="1"/>
  <c r="K37" i="2"/>
  <c r="I37" i="2"/>
  <c r="S37" i="2" s="1"/>
  <c r="Q36" i="2"/>
  <c r="K36" i="2"/>
  <c r="I36" i="2"/>
  <c r="S36" i="2" s="1"/>
  <c r="Q35" i="2"/>
  <c r="K35" i="2"/>
  <c r="I35" i="2"/>
  <c r="S35" i="2" s="1"/>
  <c r="K34" i="2"/>
  <c r="I34" i="2"/>
  <c r="R34" i="2" s="1"/>
  <c r="K33" i="2"/>
  <c r="I33" i="2"/>
  <c r="S33" i="2" s="1"/>
  <c r="Q32" i="2"/>
  <c r="K32" i="2"/>
  <c r="I32" i="2"/>
  <c r="S32" i="2" s="1"/>
  <c r="Q31" i="2"/>
  <c r="K31" i="2"/>
  <c r="I31" i="2"/>
  <c r="S31" i="2" s="1"/>
  <c r="K30" i="2"/>
  <c r="I30" i="2"/>
  <c r="R30" i="2" s="1"/>
  <c r="K29" i="2"/>
  <c r="I29" i="2"/>
  <c r="S29" i="2" s="1"/>
  <c r="Q28" i="2"/>
  <c r="K28" i="2"/>
  <c r="I28" i="2"/>
  <c r="S28" i="2" s="1"/>
  <c r="Q27" i="2"/>
  <c r="K27" i="2"/>
  <c r="I27" i="2"/>
  <c r="S27" i="2" s="1"/>
  <c r="K26" i="2"/>
  <c r="I26" i="2"/>
  <c r="R26" i="2" s="1"/>
  <c r="K25" i="2"/>
  <c r="I25" i="2"/>
  <c r="S25" i="2" s="1"/>
  <c r="Q24" i="2"/>
  <c r="K24" i="2"/>
  <c r="I24" i="2"/>
  <c r="S24" i="2" s="1"/>
  <c r="Q23" i="2"/>
  <c r="K23" i="2"/>
  <c r="I23" i="2"/>
  <c r="S23" i="2" s="1"/>
  <c r="K22" i="2"/>
  <c r="I22" i="2"/>
  <c r="R22" i="2" s="1"/>
  <c r="K21" i="2"/>
  <c r="I21" i="2"/>
  <c r="S21" i="2" s="1"/>
  <c r="Q20" i="2"/>
  <c r="K20" i="2"/>
  <c r="I20" i="2"/>
  <c r="S20" i="2" s="1"/>
  <c r="Q19" i="2"/>
  <c r="K19" i="2"/>
  <c r="I19" i="2"/>
  <c r="S19" i="2" s="1"/>
  <c r="K18" i="2"/>
  <c r="I18" i="2"/>
  <c r="R18" i="2" s="1"/>
  <c r="K17" i="2"/>
  <c r="I17" i="2"/>
  <c r="S17" i="2" s="1"/>
  <c r="Q16" i="2"/>
  <c r="K16" i="2"/>
  <c r="I16" i="2"/>
  <c r="S16" i="2" s="1"/>
  <c r="Q15" i="2"/>
  <c r="K15" i="2"/>
  <c r="I15" i="2"/>
  <c r="S15" i="2" s="1"/>
  <c r="K14" i="2"/>
  <c r="I14" i="2"/>
  <c r="R14" i="2" s="1"/>
  <c r="K13" i="2"/>
  <c r="I13" i="2"/>
  <c r="S13" i="2" s="1"/>
  <c r="Q12" i="2"/>
  <c r="K12" i="2"/>
  <c r="I12" i="2"/>
  <c r="S12" i="2" s="1"/>
  <c r="Q11" i="2"/>
  <c r="K11" i="2"/>
  <c r="I11" i="2"/>
  <c r="S11" i="2" s="1"/>
  <c r="K10" i="2"/>
  <c r="I10" i="2"/>
  <c r="R10" i="2" s="1"/>
  <c r="K9" i="2"/>
  <c r="I9" i="2"/>
  <c r="S9" i="2" s="1"/>
  <c r="Q8" i="2"/>
  <c r="K8" i="2"/>
  <c r="I8" i="2"/>
  <c r="S8" i="2" s="1"/>
  <c r="Q7" i="2"/>
  <c r="K7" i="2"/>
  <c r="I7" i="2"/>
  <c r="S7" i="2" s="1"/>
  <c r="K6" i="2"/>
  <c r="I6" i="2"/>
  <c r="R6" i="2" s="1"/>
  <c r="K5" i="2"/>
  <c r="I5" i="2"/>
  <c r="S5" i="2" s="1"/>
  <c r="Q4" i="2"/>
  <c r="K4" i="2"/>
  <c r="I4" i="2"/>
  <c r="S4" i="2" s="1"/>
  <c r="Q3" i="2"/>
  <c r="K3" i="2"/>
  <c r="I3" i="2"/>
  <c r="S3" i="2" s="1"/>
  <c r="S173" i="2" l="1"/>
  <c r="R173" i="2"/>
  <c r="Q173" i="2"/>
  <c r="Q301" i="2"/>
  <c r="R301" i="2"/>
  <c r="S331" i="2"/>
  <c r="R331" i="2"/>
  <c r="R3" i="2"/>
  <c r="R4" i="2"/>
  <c r="R7" i="2"/>
  <c r="R8" i="2"/>
  <c r="R11" i="2"/>
  <c r="R12" i="2"/>
  <c r="R15" i="2"/>
  <c r="R16" i="2"/>
  <c r="R19" i="2"/>
  <c r="R20" i="2"/>
  <c r="R23" i="2"/>
  <c r="R24" i="2"/>
  <c r="R27" i="2"/>
  <c r="R28" i="2"/>
  <c r="R31" i="2"/>
  <c r="R32" i="2"/>
  <c r="R35" i="2"/>
  <c r="R36" i="2"/>
  <c r="R39" i="2"/>
  <c r="R40" i="2"/>
  <c r="R43" i="2"/>
  <c r="R44" i="2"/>
  <c r="R47" i="2"/>
  <c r="R48" i="2"/>
  <c r="R51" i="2"/>
  <c r="R52" i="2"/>
  <c r="R55" i="2"/>
  <c r="R56" i="2"/>
  <c r="R59" i="2"/>
  <c r="R60" i="2"/>
  <c r="R63" i="2"/>
  <c r="R64" i="2"/>
  <c r="R67" i="2"/>
  <c r="R68" i="2"/>
  <c r="Q72" i="2"/>
  <c r="Q73" i="2"/>
  <c r="Q76" i="2"/>
  <c r="Q77" i="2"/>
  <c r="R78" i="2"/>
  <c r="Q79" i="2"/>
  <c r="Q80" i="2"/>
  <c r="Q81" i="2"/>
  <c r="R82" i="2"/>
  <c r="Q83" i="2"/>
  <c r="R84" i="2"/>
  <c r="Q96" i="2"/>
  <c r="Q112" i="2"/>
  <c r="S190" i="2"/>
  <c r="R190" i="2"/>
  <c r="Q190" i="2"/>
  <c r="R195" i="2"/>
  <c r="S195" i="2"/>
  <c r="S233" i="2"/>
  <c r="Q233" i="2"/>
  <c r="S254" i="2"/>
  <c r="R254" i="2"/>
  <c r="Q254" i="2"/>
  <c r="S274" i="2"/>
  <c r="R274" i="2"/>
  <c r="R280" i="2"/>
  <c r="S280" i="2"/>
  <c r="S287" i="2"/>
  <c r="R287" i="2"/>
  <c r="R305" i="2"/>
  <c r="S305" i="2"/>
  <c r="S319" i="2"/>
  <c r="R319" i="2"/>
  <c r="Q319" i="2"/>
  <c r="S202" i="2"/>
  <c r="R202" i="2"/>
  <c r="R72" i="2"/>
  <c r="R73" i="2"/>
  <c r="R76" i="2"/>
  <c r="S77" i="2"/>
  <c r="R79" i="2"/>
  <c r="R80" i="2"/>
  <c r="S81" i="2"/>
  <c r="R83" i="2"/>
  <c r="R86" i="2"/>
  <c r="Q87" i="2"/>
  <c r="Q88" i="2"/>
  <c r="Q95" i="2"/>
  <c r="R96" i="2"/>
  <c r="R99" i="2"/>
  <c r="R102" i="2"/>
  <c r="Q103" i="2"/>
  <c r="Q104" i="2"/>
  <c r="Q111" i="2"/>
  <c r="R112" i="2"/>
  <c r="R118" i="2"/>
  <c r="Q119" i="2"/>
  <c r="S150" i="2"/>
  <c r="R150" i="2"/>
  <c r="S170" i="2"/>
  <c r="R170" i="2"/>
  <c r="Q170" i="2"/>
  <c r="Q172" i="2"/>
  <c r="S172" i="2"/>
  <c r="R172" i="2"/>
  <c r="S174" i="2"/>
  <c r="R174" i="2"/>
  <c r="R201" i="2"/>
  <c r="S201" i="2"/>
  <c r="Q201" i="2"/>
  <c r="S206" i="2"/>
  <c r="R206" i="2"/>
  <c r="Q206" i="2"/>
  <c r="R219" i="2"/>
  <c r="S219" i="2"/>
  <c r="Q264" i="2"/>
  <c r="R264" i="2"/>
  <c r="R171" i="2"/>
  <c r="S171" i="2"/>
  <c r="Q171" i="2"/>
  <c r="S182" i="2"/>
  <c r="R182" i="2"/>
  <c r="Q78" i="2"/>
  <c r="S86" i="2"/>
  <c r="R87" i="2"/>
  <c r="R88" i="2"/>
  <c r="Q90" i="2"/>
  <c r="R95" i="2"/>
  <c r="S102" i="2"/>
  <c r="R103" i="2"/>
  <c r="R104" i="2"/>
  <c r="Q106" i="2"/>
  <c r="R111" i="2"/>
  <c r="S118" i="2"/>
  <c r="R119" i="2"/>
  <c r="S132" i="2"/>
  <c r="R132" i="2"/>
  <c r="S226" i="2"/>
  <c r="R226" i="2"/>
  <c r="S237" i="2"/>
  <c r="R237" i="2"/>
  <c r="R243" i="2"/>
  <c r="S243" i="2"/>
  <c r="S250" i="2"/>
  <c r="R250" i="2"/>
  <c r="R268" i="2"/>
  <c r="S268" i="2"/>
  <c r="S291" i="2"/>
  <c r="R291" i="2"/>
  <c r="Q291" i="2"/>
  <c r="R320" i="2"/>
  <c r="S320" i="2"/>
  <c r="Q150" i="2"/>
  <c r="Q174" i="2"/>
  <c r="Q182" i="2"/>
  <c r="Q195" i="2"/>
  <c r="Q202" i="2"/>
  <c r="Q226" i="2"/>
  <c r="Q243" i="2"/>
  <c r="Q250" i="2"/>
  <c r="Q280" i="2"/>
  <c r="Q287" i="2"/>
  <c r="Q331" i="2"/>
  <c r="Q132" i="2"/>
  <c r="Q134" i="2"/>
  <c r="Q136" i="2"/>
  <c r="R145" i="2"/>
  <c r="R154" i="2"/>
  <c r="S155" i="2"/>
  <c r="R157" i="2"/>
  <c r="Q162" i="2"/>
  <c r="Q169" i="2"/>
  <c r="Q186" i="2"/>
  <c r="Q194" i="2"/>
  <c r="R197" i="2"/>
  <c r="R198" i="2"/>
  <c r="Q218" i="2"/>
  <c r="R238" i="2"/>
  <c r="Q242" i="2"/>
  <c r="R245" i="2"/>
  <c r="R246" i="2"/>
  <c r="Q248" i="2"/>
  <c r="R275" i="2"/>
  <c r="Q279" i="2"/>
  <c r="R282" i="2"/>
  <c r="R283" i="2"/>
  <c r="Q285" i="2"/>
  <c r="Q315" i="2"/>
  <c r="R334" i="2"/>
  <c r="R342" i="2"/>
  <c r="Q347" i="2"/>
  <c r="Q371" i="2"/>
  <c r="Q375" i="2"/>
  <c r="Q379" i="2"/>
  <c r="Q403" i="2"/>
  <c r="Q407" i="2"/>
  <c r="Q411" i="2"/>
  <c r="Q156" i="2"/>
  <c r="Q161" i="2"/>
  <c r="R162" i="2"/>
  <c r="R186" i="2"/>
  <c r="R193" i="2"/>
  <c r="R194" i="2"/>
  <c r="R205" i="2"/>
  <c r="Q213" i="2"/>
  <c r="Q214" i="2"/>
  <c r="R218" i="2"/>
  <c r="Q222" i="2"/>
  <c r="R232" i="2"/>
  <c r="S236" i="2"/>
  <c r="R242" i="2"/>
  <c r="Q249" i="2"/>
  <c r="R253" i="2"/>
  <c r="Q261" i="2"/>
  <c r="Q262" i="2"/>
  <c r="Q263" i="2"/>
  <c r="S267" i="2"/>
  <c r="S273" i="2"/>
  <c r="R279" i="2"/>
  <c r="Q286" i="2"/>
  <c r="R290" i="2"/>
  <c r="Q298" i="2"/>
  <c r="Q299" i="2"/>
  <c r="Q300" i="2"/>
  <c r="S304" i="2"/>
  <c r="R315" i="2"/>
  <c r="S318" i="2"/>
  <c r="Q321" i="2"/>
  <c r="Q323" i="2"/>
  <c r="Q324" i="2"/>
  <c r="Q326" i="2"/>
  <c r="Q327" i="2"/>
  <c r="Q330" i="2"/>
  <c r="Q341" i="2"/>
  <c r="R345" i="2"/>
  <c r="Q346" i="2"/>
  <c r="R349" i="2"/>
  <c r="Q350" i="2"/>
  <c r="Q351" i="2"/>
  <c r="Q355" i="2"/>
  <c r="Q363" i="2"/>
  <c r="Q367" i="2"/>
  <c r="Q370" i="2"/>
  <c r="R373" i="2"/>
  <c r="Q374" i="2"/>
  <c r="Q378" i="2"/>
  <c r="R381" i="2"/>
  <c r="Q382" i="2"/>
  <c r="Q383" i="2"/>
  <c r="Q387" i="2"/>
  <c r="Q395" i="2"/>
  <c r="Q399" i="2"/>
  <c r="Q402" i="2"/>
  <c r="R405" i="2"/>
  <c r="Q406" i="2"/>
  <c r="Q410" i="2"/>
  <c r="R413" i="2"/>
  <c r="Q414" i="2"/>
  <c r="Q415" i="2"/>
  <c r="S62" i="2"/>
  <c r="S66" i="2"/>
  <c r="Q189" i="2"/>
  <c r="R189" i="2"/>
  <c r="R271" i="2"/>
  <c r="S271" i="2"/>
  <c r="Q271" i="2"/>
  <c r="Q293" i="2"/>
  <c r="S293" i="2"/>
  <c r="R293" i="2"/>
  <c r="R312" i="2"/>
  <c r="S312" i="2"/>
  <c r="Q312" i="2"/>
  <c r="R356" i="2"/>
  <c r="Q356" i="2"/>
  <c r="S356" i="2"/>
  <c r="Q361" i="2"/>
  <c r="R361" i="2"/>
  <c r="S361" i="2"/>
  <c r="Q5" i="2"/>
  <c r="Q9" i="2"/>
  <c r="Q13" i="2"/>
  <c r="Q17" i="2"/>
  <c r="Q21" i="2"/>
  <c r="Q25" i="2"/>
  <c r="Q29" i="2"/>
  <c r="Q33" i="2"/>
  <c r="Q37" i="2"/>
  <c r="Q41" i="2"/>
  <c r="Q45" i="2"/>
  <c r="Q49" i="2"/>
  <c r="Q53" i="2"/>
  <c r="Q57" i="2"/>
  <c r="Q61" i="2"/>
  <c r="Q65" i="2"/>
  <c r="Q69" i="2"/>
  <c r="Q70" i="2"/>
  <c r="Q74" i="2"/>
  <c r="R93" i="2"/>
  <c r="Q93" i="2"/>
  <c r="R98" i="2"/>
  <c r="R109" i="2"/>
  <c r="Q109" i="2"/>
  <c r="R114" i="2"/>
  <c r="R125" i="2"/>
  <c r="Q125" i="2"/>
  <c r="R130" i="2"/>
  <c r="R143" i="2"/>
  <c r="S143" i="2"/>
  <c r="Q143" i="2"/>
  <c r="Q152" i="2"/>
  <c r="R152" i="2"/>
  <c r="Q164" i="2"/>
  <c r="S164" i="2"/>
  <c r="R164" i="2"/>
  <c r="R167" i="2"/>
  <c r="Q167" i="2"/>
  <c r="R169" i="2"/>
  <c r="R185" i="2"/>
  <c r="S185" i="2"/>
  <c r="Q185" i="2"/>
  <c r="R209" i="2"/>
  <c r="S209" i="2"/>
  <c r="Q209" i="2"/>
  <c r="Q224" i="2"/>
  <c r="S224" i="2"/>
  <c r="R224" i="2"/>
  <c r="R239" i="2"/>
  <c r="S239" i="2"/>
  <c r="Q239" i="2"/>
  <c r="R241" i="2"/>
  <c r="Q241" i="2"/>
  <c r="S241" i="2"/>
  <c r="R276" i="2"/>
  <c r="S276" i="2"/>
  <c r="Q276" i="2"/>
  <c r="R278" i="2"/>
  <c r="Q278" i="2"/>
  <c r="S278" i="2"/>
  <c r="S6" i="2"/>
  <c r="S14" i="2"/>
  <c r="S34" i="2"/>
  <c r="S54" i="2"/>
  <c r="S58" i="2"/>
  <c r="S71" i="2"/>
  <c r="S75" i="2"/>
  <c r="R97" i="2"/>
  <c r="Q97" i="2"/>
  <c r="R129" i="2"/>
  <c r="Q129" i="2"/>
  <c r="R149" i="2"/>
  <c r="Q149" i="2"/>
  <c r="Q216" i="2"/>
  <c r="S216" i="2"/>
  <c r="R216" i="2"/>
  <c r="Q256" i="2"/>
  <c r="S256" i="2"/>
  <c r="R256" i="2"/>
  <c r="R388" i="2"/>
  <c r="Q388" i="2"/>
  <c r="S388" i="2"/>
  <c r="Q393" i="2"/>
  <c r="R393" i="2"/>
  <c r="S393" i="2"/>
  <c r="R5" i="2"/>
  <c r="Q6" i="2"/>
  <c r="R9" i="2"/>
  <c r="Q10" i="2"/>
  <c r="R13" i="2"/>
  <c r="Q14" i="2"/>
  <c r="R17" i="2"/>
  <c r="Q18" i="2"/>
  <c r="R21" i="2"/>
  <c r="Q22" i="2"/>
  <c r="R25" i="2"/>
  <c r="Q26" i="2"/>
  <c r="R29" i="2"/>
  <c r="Q30" i="2"/>
  <c r="R33" i="2"/>
  <c r="Q34" i="2"/>
  <c r="R37" i="2"/>
  <c r="Q38" i="2"/>
  <c r="R41" i="2"/>
  <c r="Q42" i="2"/>
  <c r="R45" i="2"/>
  <c r="Q46" i="2"/>
  <c r="R49" i="2"/>
  <c r="Q50" i="2"/>
  <c r="R53" i="2"/>
  <c r="Q54" i="2"/>
  <c r="R57" i="2"/>
  <c r="Q58" i="2"/>
  <c r="R61" i="2"/>
  <c r="Q62" i="2"/>
  <c r="R65" i="2"/>
  <c r="Q66" i="2"/>
  <c r="R69" i="2"/>
  <c r="R70" i="2"/>
  <c r="Q71" i="2"/>
  <c r="R74" i="2"/>
  <c r="Q75" i="2"/>
  <c r="Q82" i="2"/>
  <c r="R89" i="2"/>
  <c r="Q89" i="2"/>
  <c r="R94" i="2"/>
  <c r="S97" i="2"/>
  <c r="S98" i="2"/>
  <c r="R105" i="2"/>
  <c r="Q105" i="2"/>
  <c r="R110" i="2"/>
  <c r="S114" i="2"/>
  <c r="R121" i="2"/>
  <c r="Q121" i="2"/>
  <c r="R126" i="2"/>
  <c r="S129" i="2"/>
  <c r="S130" i="2"/>
  <c r="Q148" i="2"/>
  <c r="S148" i="2"/>
  <c r="R148" i="2"/>
  <c r="S149" i="2"/>
  <c r="R151" i="2"/>
  <c r="Q151" i="2"/>
  <c r="R153" i="2"/>
  <c r="S169" i="2"/>
  <c r="R179" i="2"/>
  <c r="S179" i="2"/>
  <c r="Q179" i="2"/>
  <c r="R181" i="2"/>
  <c r="Q181" i="2"/>
  <c r="S189" i="2"/>
  <c r="Q192" i="2"/>
  <c r="R192" i="2"/>
  <c r="S10" i="2"/>
  <c r="S18" i="2"/>
  <c r="S22" i="2"/>
  <c r="S26" i="2"/>
  <c r="S30" i="2"/>
  <c r="S38" i="2"/>
  <c r="S42" i="2"/>
  <c r="S46" i="2"/>
  <c r="S50" i="2"/>
  <c r="R113" i="2"/>
  <c r="Q113" i="2"/>
  <c r="R147" i="2"/>
  <c r="S147" i="2"/>
  <c r="Q147" i="2"/>
  <c r="Q168" i="2"/>
  <c r="R168" i="2"/>
  <c r="Q180" i="2"/>
  <c r="S180" i="2"/>
  <c r="R180" i="2"/>
  <c r="R183" i="2"/>
  <c r="Q183" i="2"/>
  <c r="R85" i="2"/>
  <c r="Q85" i="2"/>
  <c r="S94" i="2"/>
  <c r="R101" i="2"/>
  <c r="Q101" i="2"/>
  <c r="S110" i="2"/>
  <c r="R117" i="2"/>
  <c r="Q117" i="2"/>
  <c r="S126" i="2"/>
  <c r="R133" i="2"/>
  <c r="Q133" i="2"/>
  <c r="S153" i="2"/>
  <c r="R163" i="2"/>
  <c r="S163" i="2"/>
  <c r="Q163" i="2"/>
  <c r="R165" i="2"/>
  <c r="Q165" i="2"/>
  <c r="Q184" i="2"/>
  <c r="S184" i="2"/>
  <c r="R184" i="2"/>
  <c r="R191" i="2"/>
  <c r="Q191" i="2"/>
  <c r="R199" i="2"/>
  <c r="S199" i="2"/>
  <c r="Q199" i="2"/>
  <c r="Q208" i="2"/>
  <c r="S208" i="2"/>
  <c r="R208" i="2"/>
  <c r="R328" i="2"/>
  <c r="S328" i="2"/>
  <c r="Q328" i="2"/>
  <c r="Q188" i="2"/>
  <c r="R188" i="2"/>
  <c r="R207" i="2"/>
  <c r="S207" i="2"/>
  <c r="R215" i="2"/>
  <c r="S215" i="2"/>
  <c r="R223" i="2"/>
  <c r="S223" i="2"/>
  <c r="Q223" i="2"/>
  <c r="R225" i="2"/>
  <c r="Q225" i="2"/>
  <c r="Q240" i="2"/>
  <c r="S240" i="2"/>
  <c r="R240" i="2"/>
  <c r="R255" i="2"/>
  <c r="S255" i="2"/>
  <c r="Q255" i="2"/>
  <c r="R257" i="2"/>
  <c r="Q257" i="2"/>
  <c r="R272" i="2"/>
  <c r="S272" i="2"/>
  <c r="Q272" i="2"/>
  <c r="Q317" i="2"/>
  <c r="R317" i="2"/>
  <c r="S317" i="2"/>
  <c r="Q140" i="2"/>
  <c r="Q144" i="2"/>
  <c r="Q160" i="2"/>
  <c r="Q176" i="2"/>
  <c r="R187" i="2"/>
  <c r="Q187" i="2"/>
  <c r="Q200" i="2"/>
  <c r="S200" i="2"/>
  <c r="S217" i="2"/>
  <c r="R217" i="2"/>
  <c r="Q277" i="2"/>
  <c r="S277" i="2"/>
  <c r="R277" i="2"/>
  <c r="R292" i="2"/>
  <c r="S292" i="2"/>
  <c r="Q292" i="2"/>
  <c r="R294" i="2"/>
  <c r="Q294" i="2"/>
  <c r="Q337" i="2"/>
  <c r="S337" i="2"/>
  <c r="R337" i="2"/>
  <c r="Q333" i="2"/>
  <c r="R333" i="2"/>
  <c r="S333" i="2"/>
  <c r="Q196" i="2"/>
  <c r="Q203" i="2"/>
  <c r="Q205" i="2"/>
  <c r="Q212" i="2"/>
  <c r="Q219" i="2"/>
  <c r="Q221" i="2"/>
  <c r="Q228" i="2"/>
  <c r="S231" i="2"/>
  <c r="S232" i="2"/>
  <c r="R233" i="2"/>
  <c r="Q235" i="2"/>
  <c r="Q237" i="2"/>
  <c r="Q244" i="2"/>
  <c r="S247" i="2"/>
  <c r="S248" i="2"/>
  <c r="R249" i="2"/>
  <c r="Q251" i="2"/>
  <c r="Q253" i="2"/>
  <c r="Q260" i="2"/>
  <c r="S263" i="2"/>
  <c r="S264" i="2"/>
  <c r="R265" i="2"/>
  <c r="Q267" i="2"/>
  <c r="Q269" i="2"/>
  <c r="Q274" i="2"/>
  <c r="Q281" i="2"/>
  <c r="S284" i="2"/>
  <c r="S285" i="2"/>
  <c r="R286" i="2"/>
  <c r="Q288" i="2"/>
  <c r="Q290" i="2"/>
  <c r="Q297" i="2"/>
  <c r="S300" i="2"/>
  <c r="S301" i="2"/>
  <c r="R302" i="2"/>
  <c r="Q304" i="2"/>
  <c r="Q306" i="2"/>
  <c r="S314" i="2"/>
  <c r="R316" i="2"/>
  <c r="Q316" i="2"/>
  <c r="R318" i="2"/>
  <c r="Q320" i="2"/>
  <c r="R321" i="2"/>
  <c r="Q322" i="2"/>
  <c r="S330" i="2"/>
  <c r="R332" i="2"/>
  <c r="Q332" i="2"/>
  <c r="R364" i="2"/>
  <c r="Q364" i="2"/>
  <c r="S364" i="2"/>
  <c r="Q369" i="2"/>
  <c r="R369" i="2"/>
  <c r="R396" i="2"/>
  <c r="Q396" i="2"/>
  <c r="S396" i="2"/>
  <c r="Q401" i="2"/>
  <c r="R401" i="2"/>
  <c r="R336" i="2"/>
  <c r="Q336" i="2"/>
  <c r="S336" i="2"/>
  <c r="R340" i="2"/>
  <c r="Q340" i="2"/>
  <c r="S340" i="2"/>
  <c r="R372" i="2"/>
  <c r="Q372" i="2"/>
  <c r="S372" i="2"/>
  <c r="Q377" i="2"/>
  <c r="R377" i="2"/>
  <c r="R404" i="2"/>
  <c r="Q404" i="2"/>
  <c r="S404" i="2"/>
  <c r="Q409" i="2"/>
  <c r="R409" i="2"/>
  <c r="Q204" i="2"/>
  <c r="Q220" i="2"/>
  <c r="Q236" i="2"/>
  <c r="Q252" i="2"/>
  <c r="Q268" i="2"/>
  <c r="Q273" i="2"/>
  <c r="Q289" i="2"/>
  <c r="Q305" i="2"/>
  <c r="Q313" i="2"/>
  <c r="S313" i="2"/>
  <c r="Q329" i="2"/>
  <c r="S329" i="2"/>
  <c r="S332" i="2"/>
  <c r="R348" i="2"/>
  <c r="Q348" i="2"/>
  <c r="S348" i="2"/>
  <c r="Q353" i="2"/>
  <c r="R353" i="2"/>
  <c r="S369" i="2"/>
  <c r="R380" i="2"/>
  <c r="Q380" i="2"/>
  <c r="S380" i="2"/>
  <c r="Q385" i="2"/>
  <c r="R385" i="2"/>
  <c r="S401" i="2"/>
  <c r="R412" i="2"/>
  <c r="Q412" i="2"/>
  <c r="S412" i="2"/>
  <c r="Q417" i="2"/>
  <c r="R417" i="2"/>
  <c r="R352" i="2"/>
  <c r="Q352" i="2"/>
  <c r="R360" i="2"/>
  <c r="Q360" i="2"/>
  <c r="R368" i="2"/>
  <c r="Q368" i="2"/>
  <c r="R376" i="2"/>
  <c r="Q376" i="2"/>
  <c r="R384" i="2"/>
  <c r="Q384" i="2"/>
  <c r="R392" i="2"/>
  <c r="Q392" i="2"/>
  <c r="R400" i="2"/>
  <c r="Q400" i="2"/>
  <c r="R408" i="2"/>
  <c r="Q408" i="2"/>
  <c r="R416" i="2"/>
  <c r="Q416" i="2"/>
  <c r="Q309" i="2"/>
  <c r="Q325" i="2"/>
  <c r="R344" i="2"/>
  <c r="Q344" i="2"/>
  <c r="R347" i="2"/>
  <c r="R351" i="2"/>
  <c r="R355" i="2"/>
  <c r="R359" i="2"/>
  <c r="R363" i="2"/>
  <c r="R367" i="2"/>
  <c r="R371" i="2"/>
  <c r="R375" i="2"/>
  <c r="R379" i="2"/>
  <c r="R383" i="2"/>
  <c r="R387" i="2"/>
  <c r="R391" i="2"/>
  <c r="R395" i="2"/>
  <c r="R399" i="2"/>
  <c r="R403" i="2"/>
  <c r="R407" i="2"/>
  <c r="R411" i="2"/>
  <c r="R415" i="2"/>
  <c r="R420" i="2"/>
  <c r="K238" i="1" l="1"/>
  <c r="I238" i="1"/>
  <c r="S238" i="1" s="1"/>
  <c r="K237" i="1"/>
  <c r="I237" i="1"/>
  <c r="S237" i="1" s="1"/>
  <c r="R236" i="1"/>
  <c r="K236" i="1"/>
  <c r="Q236" i="1" s="1"/>
  <c r="I236" i="1"/>
  <c r="S236" i="1" s="1"/>
  <c r="K235" i="1"/>
  <c r="I235" i="1"/>
  <c r="K234" i="1"/>
  <c r="I234" i="1"/>
  <c r="S234" i="1" s="1"/>
  <c r="K233" i="1"/>
  <c r="I233" i="1"/>
  <c r="S233" i="1" s="1"/>
  <c r="K232" i="1"/>
  <c r="I232" i="1"/>
  <c r="S232" i="1" s="1"/>
  <c r="K231" i="1"/>
  <c r="I231" i="1"/>
  <c r="K230" i="1"/>
  <c r="I230" i="1"/>
  <c r="S230" i="1" s="1"/>
  <c r="K229" i="1"/>
  <c r="I229" i="1"/>
  <c r="S229" i="1" s="1"/>
  <c r="R228" i="1"/>
  <c r="K228" i="1"/>
  <c r="I228" i="1"/>
  <c r="S228" i="1" s="1"/>
  <c r="K227" i="1"/>
  <c r="I227" i="1"/>
  <c r="K226" i="1"/>
  <c r="I226" i="1"/>
  <c r="S226" i="1" s="1"/>
  <c r="Q225" i="1"/>
  <c r="K225" i="1"/>
  <c r="I225" i="1"/>
  <c r="S225" i="1" s="1"/>
  <c r="Q224" i="1"/>
  <c r="K224" i="1"/>
  <c r="I224" i="1"/>
  <c r="S224" i="1" s="1"/>
  <c r="K223" i="1"/>
  <c r="I223" i="1"/>
  <c r="K222" i="1"/>
  <c r="I222" i="1"/>
  <c r="S222" i="1" s="1"/>
  <c r="K221" i="1"/>
  <c r="I221" i="1"/>
  <c r="S221" i="1" s="1"/>
  <c r="R220" i="1"/>
  <c r="K220" i="1"/>
  <c r="I220" i="1"/>
  <c r="S220" i="1" s="1"/>
  <c r="K219" i="1"/>
  <c r="I219" i="1"/>
  <c r="K218" i="1"/>
  <c r="I218" i="1"/>
  <c r="S218" i="1" s="1"/>
  <c r="K217" i="1"/>
  <c r="I217" i="1"/>
  <c r="S217" i="1" s="1"/>
  <c r="K216" i="1"/>
  <c r="I216" i="1"/>
  <c r="S216" i="1" s="1"/>
  <c r="K215" i="1"/>
  <c r="I215" i="1"/>
  <c r="K214" i="1"/>
  <c r="I214" i="1"/>
  <c r="S214" i="1" s="1"/>
  <c r="K213" i="1"/>
  <c r="Q213" i="1" s="1"/>
  <c r="I213" i="1"/>
  <c r="S213" i="1" s="1"/>
  <c r="R212" i="1"/>
  <c r="K212" i="1"/>
  <c r="Q212" i="1" s="1"/>
  <c r="I212" i="1"/>
  <c r="S212" i="1" s="1"/>
  <c r="K211" i="1"/>
  <c r="I211" i="1"/>
  <c r="K210" i="1"/>
  <c r="I210" i="1"/>
  <c r="S210" i="1" s="1"/>
  <c r="Q209" i="1"/>
  <c r="K209" i="1"/>
  <c r="I209" i="1"/>
  <c r="S209" i="1" s="1"/>
  <c r="Q208" i="1"/>
  <c r="K208" i="1"/>
  <c r="I208" i="1"/>
  <c r="S208" i="1" s="1"/>
  <c r="K207" i="1"/>
  <c r="I207" i="1"/>
  <c r="K206" i="1"/>
  <c r="I206" i="1"/>
  <c r="S206" i="1" s="1"/>
  <c r="K205" i="1"/>
  <c r="I205" i="1"/>
  <c r="S205" i="1" s="1"/>
  <c r="R204" i="1"/>
  <c r="K204" i="1"/>
  <c r="I204" i="1"/>
  <c r="S204" i="1" s="1"/>
  <c r="K203" i="1"/>
  <c r="I203" i="1"/>
  <c r="K202" i="1"/>
  <c r="I202" i="1"/>
  <c r="S202" i="1" s="1"/>
  <c r="K201" i="1"/>
  <c r="I201" i="1"/>
  <c r="S201" i="1" s="1"/>
  <c r="K200" i="1"/>
  <c r="I200" i="1"/>
  <c r="S200" i="1" s="1"/>
  <c r="K199" i="1"/>
  <c r="I199" i="1"/>
  <c r="K198" i="1"/>
  <c r="I198" i="1"/>
  <c r="S198" i="1" s="1"/>
  <c r="S197" i="1"/>
  <c r="R197" i="1"/>
  <c r="K197" i="1"/>
  <c r="Q197" i="1" s="1"/>
  <c r="K196" i="1"/>
  <c r="Q196" i="1" s="1"/>
  <c r="I196" i="1"/>
  <c r="S196" i="1" s="1"/>
  <c r="R195" i="1"/>
  <c r="K195" i="1"/>
  <c r="Q195" i="1" s="1"/>
  <c r="I195" i="1"/>
  <c r="S195" i="1" s="1"/>
  <c r="K194" i="1"/>
  <c r="I194" i="1"/>
  <c r="K193" i="1"/>
  <c r="I193" i="1"/>
  <c r="S193" i="1" s="1"/>
  <c r="Q192" i="1"/>
  <c r="K192" i="1"/>
  <c r="I192" i="1"/>
  <c r="S192" i="1" s="1"/>
  <c r="Q191" i="1"/>
  <c r="K191" i="1"/>
  <c r="I191" i="1"/>
  <c r="S191" i="1" s="1"/>
  <c r="K190" i="1"/>
  <c r="I190" i="1"/>
  <c r="K189" i="1"/>
  <c r="I189" i="1"/>
  <c r="S189" i="1" s="1"/>
  <c r="K188" i="1"/>
  <c r="I188" i="1"/>
  <c r="S188" i="1" s="1"/>
  <c r="R187" i="1"/>
  <c r="K187" i="1"/>
  <c r="I187" i="1"/>
  <c r="S187" i="1" s="1"/>
  <c r="K186" i="1"/>
  <c r="I186" i="1"/>
  <c r="K185" i="1"/>
  <c r="I185" i="1"/>
  <c r="S185" i="1" s="1"/>
  <c r="K184" i="1"/>
  <c r="I184" i="1"/>
  <c r="S184" i="1" s="1"/>
  <c r="K183" i="1"/>
  <c r="I183" i="1"/>
  <c r="S183" i="1" s="1"/>
  <c r="K182" i="1"/>
  <c r="I182" i="1"/>
  <c r="K181" i="1"/>
  <c r="I181" i="1"/>
  <c r="S181" i="1" s="1"/>
  <c r="K180" i="1"/>
  <c r="Q180" i="1" s="1"/>
  <c r="I180" i="1"/>
  <c r="S180" i="1" s="1"/>
  <c r="R179" i="1"/>
  <c r="K179" i="1"/>
  <c r="Q179" i="1" s="1"/>
  <c r="I179" i="1"/>
  <c r="S179" i="1" s="1"/>
  <c r="K178" i="1"/>
  <c r="I178" i="1"/>
  <c r="K177" i="1"/>
  <c r="I177" i="1"/>
  <c r="S177" i="1" s="1"/>
  <c r="Q176" i="1"/>
  <c r="K176" i="1"/>
  <c r="I176" i="1"/>
  <c r="S176" i="1" s="1"/>
  <c r="Q175" i="1"/>
  <c r="K175" i="1"/>
  <c r="I175" i="1"/>
  <c r="S175" i="1" s="1"/>
  <c r="K174" i="1"/>
  <c r="I174" i="1"/>
  <c r="K173" i="1"/>
  <c r="I173" i="1"/>
  <c r="S173" i="1" s="1"/>
  <c r="K172" i="1"/>
  <c r="I172" i="1"/>
  <c r="S172" i="1" s="1"/>
  <c r="I171" i="1"/>
  <c r="S171" i="1" s="1"/>
  <c r="K170" i="1"/>
  <c r="I170" i="1"/>
  <c r="S170" i="1" s="1"/>
  <c r="K169" i="1"/>
  <c r="I169" i="1"/>
  <c r="S169" i="1" s="1"/>
  <c r="K168" i="1"/>
  <c r="I168" i="1"/>
  <c r="S168" i="1" s="1"/>
  <c r="K167" i="1"/>
  <c r="I167" i="1"/>
  <c r="S167" i="1" s="1"/>
  <c r="K166" i="1"/>
  <c r="I166" i="1"/>
  <c r="S166" i="1" s="1"/>
  <c r="K165" i="1"/>
  <c r="I165" i="1"/>
  <c r="S165" i="1" s="1"/>
  <c r="K164" i="1"/>
  <c r="I164" i="1"/>
  <c r="S164" i="1" s="1"/>
  <c r="K163" i="1"/>
  <c r="I163" i="1"/>
  <c r="S163" i="1" s="1"/>
  <c r="K162" i="1"/>
  <c r="I162" i="1"/>
  <c r="S162" i="1" s="1"/>
  <c r="S161" i="1"/>
  <c r="K161" i="1"/>
  <c r="I161" i="1"/>
  <c r="K160" i="1"/>
  <c r="I160" i="1"/>
  <c r="S160" i="1" s="1"/>
  <c r="K159" i="1"/>
  <c r="I159" i="1"/>
  <c r="S159" i="1" s="1"/>
  <c r="K158" i="1"/>
  <c r="I158" i="1"/>
  <c r="S158" i="1" s="1"/>
  <c r="S157" i="1"/>
  <c r="K157" i="1"/>
  <c r="I157" i="1"/>
  <c r="K156" i="1"/>
  <c r="I156" i="1"/>
  <c r="S156" i="1" s="1"/>
  <c r="K155" i="1"/>
  <c r="I155" i="1"/>
  <c r="S155" i="1" s="1"/>
  <c r="K154" i="1"/>
  <c r="I154" i="1"/>
  <c r="S154" i="1" s="1"/>
  <c r="S153" i="1"/>
  <c r="K153" i="1"/>
  <c r="I153" i="1"/>
  <c r="K152" i="1"/>
  <c r="I152" i="1"/>
  <c r="S152" i="1" s="1"/>
  <c r="K151" i="1"/>
  <c r="I151" i="1"/>
  <c r="S151" i="1" s="1"/>
  <c r="K150" i="1"/>
  <c r="I150" i="1"/>
  <c r="S150" i="1" s="1"/>
  <c r="S149" i="1"/>
  <c r="K149" i="1"/>
  <c r="I149" i="1"/>
  <c r="K148" i="1"/>
  <c r="I148" i="1"/>
  <c r="S148" i="1" s="1"/>
  <c r="K147" i="1"/>
  <c r="I147" i="1"/>
  <c r="S147" i="1" s="1"/>
  <c r="K146" i="1"/>
  <c r="I146" i="1"/>
  <c r="S146" i="1" s="1"/>
  <c r="S145" i="1"/>
  <c r="K145" i="1"/>
  <c r="I145" i="1"/>
  <c r="K144" i="1"/>
  <c r="I144" i="1"/>
  <c r="S144" i="1" s="1"/>
  <c r="K143" i="1"/>
  <c r="I143" i="1"/>
  <c r="S143" i="1" s="1"/>
  <c r="K142" i="1"/>
  <c r="I142" i="1"/>
  <c r="S142" i="1" s="1"/>
  <c r="S141" i="1"/>
  <c r="K141" i="1"/>
  <c r="I141" i="1"/>
  <c r="K140" i="1"/>
  <c r="I140" i="1"/>
  <c r="S140" i="1" s="1"/>
  <c r="K139" i="1"/>
  <c r="I139" i="1"/>
  <c r="S139" i="1" s="1"/>
  <c r="K138" i="1"/>
  <c r="I138" i="1"/>
  <c r="S138" i="1" s="1"/>
  <c r="S137" i="1"/>
  <c r="K137" i="1"/>
  <c r="I137" i="1"/>
  <c r="K136" i="1"/>
  <c r="I136" i="1"/>
  <c r="S136" i="1" s="1"/>
  <c r="K135" i="1"/>
  <c r="I135" i="1"/>
  <c r="S135" i="1" s="1"/>
  <c r="K134" i="1"/>
  <c r="I134" i="1"/>
  <c r="S134" i="1" s="1"/>
  <c r="K133" i="1"/>
  <c r="I133" i="1"/>
  <c r="K132" i="1"/>
  <c r="I132" i="1"/>
  <c r="S132" i="1" s="1"/>
  <c r="K131" i="1"/>
  <c r="I131" i="1"/>
  <c r="S131" i="1" s="1"/>
  <c r="K130" i="1"/>
  <c r="I130" i="1"/>
  <c r="S130" i="1" s="1"/>
  <c r="K129" i="1"/>
  <c r="I129" i="1"/>
  <c r="S129" i="1" s="1"/>
  <c r="K128" i="1"/>
  <c r="I128" i="1"/>
  <c r="S128" i="1" s="1"/>
  <c r="S127" i="1"/>
  <c r="K127" i="1"/>
  <c r="Q127" i="1" s="1"/>
  <c r="I127" i="1"/>
  <c r="R127" i="1" s="1"/>
  <c r="R126" i="1"/>
  <c r="K126" i="1"/>
  <c r="I126" i="1"/>
  <c r="S126" i="1" s="1"/>
  <c r="K125" i="1"/>
  <c r="I125" i="1"/>
  <c r="S125" i="1" s="1"/>
  <c r="R124" i="1"/>
  <c r="K124" i="1"/>
  <c r="I124" i="1"/>
  <c r="S124" i="1" s="1"/>
  <c r="Q123" i="1"/>
  <c r="K123" i="1"/>
  <c r="I123" i="1"/>
  <c r="S123" i="1" s="1"/>
  <c r="K122" i="1"/>
  <c r="Q122" i="1" s="1"/>
  <c r="I122" i="1"/>
  <c r="S122" i="1" s="1"/>
  <c r="K121" i="1"/>
  <c r="I121" i="1"/>
  <c r="S121" i="1" s="1"/>
  <c r="R120" i="1"/>
  <c r="K120" i="1"/>
  <c r="I120" i="1"/>
  <c r="S120" i="1" s="1"/>
  <c r="Q119" i="1"/>
  <c r="K119" i="1"/>
  <c r="I119" i="1"/>
  <c r="S119" i="1" s="1"/>
  <c r="K118" i="1"/>
  <c r="Q118" i="1" s="1"/>
  <c r="I118" i="1"/>
  <c r="S118" i="1" s="1"/>
  <c r="K117" i="1"/>
  <c r="I117" i="1"/>
  <c r="S117" i="1" s="1"/>
  <c r="R116" i="1"/>
  <c r="K116" i="1"/>
  <c r="I116" i="1"/>
  <c r="S116" i="1" s="1"/>
  <c r="Q115" i="1"/>
  <c r="K115" i="1"/>
  <c r="I115" i="1"/>
  <c r="S115" i="1" s="1"/>
  <c r="K114" i="1"/>
  <c r="Q114" i="1" s="1"/>
  <c r="I114" i="1"/>
  <c r="S114" i="1" s="1"/>
  <c r="K113" i="1"/>
  <c r="I113" i="1"/>
  <c r="S113" i="1" s="1"/>
  <c r="R112" i="1"/>
  <c r="K112" i="1"/>
  <c r="I112" i="1"/>
  <c r="S112" i="1" s="1"/>
  <c r="Q111" i="1"/>
  <c r="K111" i="1"/>
  <c r="I111" i="1"/>
  <c r="S111" i="1" s="1"/>
  <c r="K110" i="1"/>
  <c r="Q110" i="1" s="1"/>
  <c r="I110" i="1"/>
  <c r="S110" i="1" s="1"/>
  <c r="K109" i="1"/>
  <c r="I109" i="1"/>
  <c r="S109" i="1" s="1"/>
  <c r="R108" i="1"/>
  <c r="K108" i="1"/>
  <c r="I108" i="1"/>
  <c r="S108" i="1" s="1"/>
  <c r="Q107" i="1"/>
  <c r="K107" i="1"/>
  <c r="I107" i="1"/>
  <c r="S107" i="1" s="1"/>
  <c r="K106" i="1"/>
  <c r="Q106" i="1" s="1"/>
  <c r="I106" i="1"/>
  <c r="S106" i="1" s="1"/>
  <c r="K105" i="1"/>
  <c r="I105" i="1"/>
  <c r="S105" i="1" s="1"/>
  <c r="R104" i="1"/>
  <c r="K104" i="1"/>
  <c r="I104" i="1"/>
  <c r="S104" i="1" s="1"/>
  <c r="Q103" i="1"/>
  <c r="K103" i="1"/>
  <c r="I103" i="1"/>
  <c r="S103" i="1" s="1"/>
  <c r="K102" i="1"/>
  <c r="Q102" i="1" s="1"/>
  <c r="I102" i="1"/>
  <c r="S102" i="1" s="1"/>
  <c r="K101" i="1"/>
  <c r="I101" i="1"/>
  <c r="S101" i="1" s="1"/>
  <c r="R100" i="1"/>
  <c r="K100" i="1"/>
  <c r="I100" i="1"/>
  <c r="S100" i="1" s="1"/>
  <c r="Q99" i="1"/>
  <c r="K99" i="1"/>
  <c r="I99" i="1"/>
  <c r="S99" i="1" s="1"/>
  <c r="K98" i="1"/>
  <c r="Q98" i="1" s="1"/>
  <c r="I98" i="1"/>
  <c r="S98" i="1" s="1"/>
  <c r="K97" i="1"/>
  <c r="I97" i="1"/>
  <c r="S97" i="1" s="1"/>
  <c r="K96" i="1"/>
  <c r="I96" i="1"/>
  <c r="S96" i="1" s="1"/>
  <c r="Q95" i="1"/>
  <c r="K95" i="1"/>
  <c r="I95" i="1"/>
  <c r="S95" i="1" s="1"/>
  <c r="K94" i="1"/>
  <c r="Q94" i="1" s="1"/>
  <c r="I94" i="1"/>
  <c r="S94" i="1" s="1"/>
  <c r="K93" i="1"/>
  <c r="I93" i="1"/>
  <c r="S93" i="1" s="1"/>
  <c r="K92" i="1"/>
  <c r="I92" i="1"/>
  <c r="S92" i="1" s="1"/>
  <c r="Q91" i="1"/>
  <c r="K91" i="1"/>
  <c r="I91" i="1"/>
  <c r="S91" i="1" s="1"/>
  <c r="K90" i="1"/>
  <c r="Q90" i="1" s="1"/>
  <c r="I90" i="1"/>
  <c r="S90" i="1" s="1"/>
  <c r="K89" i="1"/>
  <c r="I89" i="1"/>
  <c r="S89" i="1" s="1"/>
  <c r="K88" i="1"/>
  <c r="I88" i="1"/>
  <c r="S88" i="1" s="1"/>
  <c r="Q87" i="1"/>
  <c r="K87" i="1"/>
  <c r="I87" i="1"/>
  <c r="S87" i="1" s="1"/>
  <c r="K86" i="1"/>
  <c r="Q86" i="1" s="1"/>
  <c r="I86" i="1"/>
  <c r="S86" i="1" s="1"/>
  <c r="S85" i="1"/>
  <c r="R85" i="1"/>
  <c r="Q85" i="1"/>
  <c r="K85" i="1"/>
  <c r="K84" i="1"/>
  <c r="I84" i="1"/>
  <c r="S84" i="1" s="1"/>
  <c r="K83" i="1"/>
  <c r="I83" i="1"/>
  <c r="S83" i="1" s="1"/>
  <c r="Q82" i="1"/>
  <c r="K82" i="1"/>
  <c r="I82" i="1"/>
  <c r="S82" i="1" s="1"/>
  <c r="K81" i="1"/>
  <c r="Q81" i="1" s="1"/>
  <c r="I81" i="1"/>
  <c r="S81" i="1" s="1"/>
  <c r="K80" i="1"/>
  <c r="I80" i="1"/>
  <c r="S80" i="1" s="1"/>
  <c r="K79" i="1"/>
  <c r="I79" i="1"/>
  <c r="S79" i="1" s="1"/>
  <c r="Q78" i="1"/>
  <c r="K78" i="1"/>
  <c r="I78" i="1"/>
  <c r="S78" i="1" s="1"/>
  <c r="K77" i="1"/>
  <c r="Q77" i="1" s="1"/>
  <c r="I77" i="1"/>
  <c r="S77" i="1" s="1"/>
  <c r="K76" i="1"/>
  <c r="I76" i="1"/>
  <c r="S76" i="1" s="1"/>
  <c r="K75" i="1"/>
  <c r="I75" i="1"/>
  <c r="S75" i="1" s="1"/>
  <c r="Q74" i="1"/>
  <c r="K74" i="1"/>
  <c r="I74" i="1"/>
  <c r="S74" i="1" s="1"/>
  <c r="R73" i="1"/>
  <c r="K73" i="1"/>
  <c r="Q73" i="1" s="1"/>
  <c r="I73" i="1"/>
  <c r="S73" i="1" s="1"/>
  <c r="K72" i="1"/>
  <c r="I72" i="1"/>
  <c r="S72" i="1" s="1"/>
  <c r="K71" i="1"/>
  <c r="I71" i="1"/>
  <c r="S71" i="1" s="1"/>
  <c r="Q70" i="1"/>
  <c r="K70" i="1"/>
  <c r="I70" i="1"/>
  <c r="S70" i="1" s="1"/>
  <c r="K69" i="1"/>
  <c r="Q69" i="1" s="1"/>
  <c r="I69" i="1"/>
  <c r="S69" i="1" s="1"/>
  <c r="K68" i="1"/>
  <c r="I68" i="1"/>
  <c r="S68" i="1" s="1"/>
  <c r="K67" i="1"/>
  <c r="I67" i="1"/>
  <c r="S67" i="1" s="1"/>
  <c r="K66" i="1"/>
  <c r="I66" i="1"/>
  <c r="K65" i="1"/>
  <c r="I65" i="1"/>
  <c r="S65" i="1" s="1"/>
  <c r="K64" i="1"/>
  <c r="I64" i="1"/>
  <c r="R64" i="1" s="1"/>
  <c r="K63" i="1"/>
  <c r="I63" i="1"/>
  <c r="S63" i="1" s="1"/>
  <c r="Q62" i="1"/>
  <c r="K62" i="1"/>
  <c r="I62" i="1"/>
  <c r="R62" i="1" s="1"/>
  <c r="R61" i="1"/>
  <c r="K61" i="1"/>
  <c r="Q61" i="1" s="1"/>
  <c r="I61" i="1"/>
  <c r="S61" i="1" s="1"/>
  <c r="K60" i="1"/>
  <c r="I60" i="1"/>
  <c r="R60" i="1" s="1"/>
  <c r="R59" i="1"/>
  <c r="I59" i="1"/>
  <c r="K58" i="1"/>
  <c r="I58" i="1"/>
  <c r="S58" i="1" s="1"/>
  <c r="K57" i="1"/>
  <c r="I57" i="1"/>
  <c r="R57" i="1" s="1"/>
  <c r="R56" i="1"/>
  <c r="K56" i="1"/>
  <c r="I56" i="1"/>
  <c r="S56" i="1" s="1"/>
  <c r="K55" i="1"/>
  <c r="I55" i="1"/>
  <c r="R55" i="1" s="1"/>
  <c r="K54" i="1"/>
  <c r="I54" i="1"/>
  <c r="S54" i="1" s="1"/>
  <c r="S53" i="1"/>
  <c r="K53" i="1"/>
  <c r="I53" i="1"/>
  <c r="R53" i="1" s="1"/>
  <c r="K52" i="1"/>
  <c r="Q52" i="1" s="1"/>
  <c r="I52" i="1"/>
  <c r="S52" i="1" s="1"/>
  <c r="S51" i="1"/>
  <c r="K51" i="1"/>
  <c r="I51" i="1"/>
  <c r="R51" i="1" s="1"/>
  <c r="K50" i="1"/>
  <c r="I50" i="1"/>
  <c r="S50" i="1" s="1"/>
  <c r="K49" i="1"/>
  <c r="I49" i="1"/>
  <c r="R49" i="1" s="1"/>
  <c r="R48" i="1"/>
  <c r="K48" i="1"/>
  <c r="I48" i="1"/>
  <c r="S48" i="1" s="1"/>
  <c r="K47" i="1"/>
  <c r="I47" i="1"/>
  <c r="R47" i="1" s="1"/>
  <c r="R46" i="1"/>
  <c r="K46" i="1"/>
  <c r="I46" i="1"/>
  <c r="S46" i="1" s="1"/>
  <c r="S45" i="1"/>
  <c r="K45" i="1"/>
  <c r="I45" i="1"/>
  <c r="R45" i="1" s="1"/>
  <c r="K44" i="1"/>
  <c r="Q44" i="1" s="1"/>
  <c r="I44" i="1"/>
  <c r="S44" i="1" s="1"/>
  <c r="S43" i="1"/>
  <c r="K43" i="1"/>
  <c r="I43" i="1"/>
  <c r="R43" i="1" s="1"/>
  <c r="K42" i="1"/>
  <c r="I42" i="1"/>
  <c r="S42" i="1" s="1"/>
  <c r="K41" i="1"/>
  <c r="Q41" i="1" s="1"/>
  <c r="I41" i="1"/>
  <c r="R41" i="1" s="1"/>
  <c r="R40" i="1"/>
  <c r="K40" i="1"/>
  <c r="I40" i="1"/>
  <c r="S40" i="1" s="1"/>
  <c r="K39" i="1"/>
  <c r="I39" i="1"/>
  <c r="R39" i="1" s="1"/>
  <c r="R38" i="1"/>
  <c r="K38" i="1"/>
  <c r="I38" i="1"/>
  <c r="S38" i="1" s="1"/>
  <c r="S37" i="1"/>
  <c r="K37" i="1"/>
  <c r="I37" i="1"/>
  <c r="R37" i="1" s="1"/>
  <c r="K36" i="1"/>
  <c r="Q36" i="1" s="1"/>
  <c r="I36" i="1"/>
  <c r="S36" i="1" s="1"/>
  <c r="S35" i="1"/>
  <c r="K35" i="1"/>
  <c r="I35" i="1"/>
  <c r="R35" i="1" s="1"/>
  <c r="K34" i="1"/>
  <c r="I34" i="1"/>
  <c r="S34" i="1" s="1"/>
  <c r="K33" i="1"/>
  <c r="Q33" i="1" s="1"/>
  <c r="I33" i="1"/>
  <c r="R33" i="1" s="1"/>
  <c r="R32" i="1"/>
  <c r="K32" i="1"/>
  <c r="I32" i="1"/>
  <c r="S32" i="1" s="1"/>
  <c r="K31" i="1"/>
  <c r="I31" i="1"/>
  <c r="R31" i="1" s="1"/>
  <c r="R30" i="1"/>
  <c r="K30" i="1"/>
  <c r="I30" i="1"/>
  <c r="S30" i="1" s="1"/>
  <c r="S29" i="1"/>
  <c r="K29" i="1"/>
  <c r="I29" i="1"/>
  <c r="R29" i="1" s="1"/>
  <c r="K28" i="1"/>
  <c r="Q28" i="1" s="1"/>
  <c r="I28" i="1"/>
  <c r="S28" i="1" s="1"/>
  <c r="S27" i="1"/>
  <c r="K27" i="1"/>
  <c r="I27" i="1"/>
  <c r="R27" i="1" s="1"/>
  <c r="K26" i="1"/>
  <c r="I26" i="1"/>
  <c r="S26" i="1" s="1"/>
  <c r="K25" i="1"/>
  <c r="Q25" i="1" s="1"/>
  <c r="I25" i="1"/>
  <c r="R25" i="1" s="1"/>
  <c r="R24" i="1"/>
  <c r="K24" i="1"/>
  <c r="I24" i="1"/>
  <c r="S24" i="1" s="1"/>
  <c r="K23" i="1"/>
  <c r="I23" i="1"/>
  <c r="R23" i="1" s="1"/>
  <c r="R22" i="1"/>
  <c r="K22" i="1"/>
  <c r="I22" i="1"/>
  <c r="S22" i="1" s="1"/>
  <c r="S21" i="1"/>
  <c r="K21" i="1"/>
  <c r="I21" i="1"/>
  <c r="R21" i="1" s="1"/>
  <c r="K20" i="1"/>
  <c r="Q20" i="1" s="1"/>
  <c r="I20" i="1"/>
  <c r="S20" i="1" s="1"/>
  <c r="S19" i="1"/>
  <c r="K19" i="1"/>
  <c r="I19" i="1"/>
  <c r="R19" i="1" s="1"/>
  <c r="K18" i="1"/>
  <c r="I18" i="1"/>
  <c r="S18" i="1" s="1"/>
  <c r="K17" i="1"/>
  <c r="Q17" i="1" s="1"/>
  <c r="I17" i="1"/>
  <c r="R17" i="1" s="1"/>
  <c r="R16" i="1"/>
  <c r="K16" i="1"/>
  <c r="I16" i="1"/>
  <c r="S16" i="1" s="1"/>
  <c r="K15" i="1"/>
  <c r="I15" i="1"/>
  <c r="S15" i="1" s="1"/>
  <c r="K14" i="1"/>
  <c r="I14" i="1"/>
  <c r="S14" i="1" s="1"/>
  <c r="K13" i="1"/>
  <c r="I13" i="1"/>
  <c r="R13" i="1" s="1"/>
  <c r="K12" i="1"/>
  <c r="Q12" i="1" s="1"/>
  <c r="I12" i="1"/>
  <c r="S12" i="1" s="1"/>
  <c r="R11" i="1"/>
  <c r="K11" i="1"/>
  <c r="I11" i="1"/>
  <c r="S11" i="1" s="1"/>
  <c r="S10" i="1"/>
  <c r="K10" i="1"/>
  <c r="I10" i="1"/>
  <c r="R10" i="1" s="1"/>
  <c r="S9" i="1"/>
  <c r="K9" i="1"/>
  <c r="I9" i="1"/>
  <c r="R9" i="1" s="1"/>
  <c r="R8" i="1"/>
  <c r="K8" i="1"/>
  <c r="I8" i="1"/>
  <c r="S8" i="1" s="1"/>
  <c r="K7" i="1"/>
  <c r="I7" i="1"/>
  <c r="Q7" i="1" s="1"/>
  <c r="S6" i="1"/>
  <c r="K6" i="1"/>
  <c r="I6" i="1"/>
  <c r="S5" i="1"/>
  <c r="K5" i="1"/>
  <c r="I5" i="1"/>
  <c r="R5" i="1" s="1"/>
  <c r="Q4" i="1"/>
  <c r="K4" i="1"/>
  <c r="I4" i="1"/>
  <c r="S4" i="1" s="1"/>
  <c r="K3" i="1"/>
  <c r="I3" i="1"/>
  <c r="R3" i="1" s="1"/>
  <c r="R4" i="1" l="1"/>
  <c r="Q6" i="1"/>
  <c r="Q8" i="1"/>
  <c r="Q9" i="1"/>
  <c r="Q11" i="1"/>
  <c r="R12" i="1"/>
  <c r="Q15" i="1"/>
  <c r="Q19" i="1"/>
  <c r="R20" i="1"/>
  <c r="Q27" i="1"/>
  <c r="R28" i="1"/>
  <c r="Q35" i="1"/>
  <c r="R36" i="1"/>
  <c r="Q43" i="1"/>
  <c r="R44" i="1"/>
  <c r="Q51" i="1"/>
  <c r="R52" i="1"/>
  <c r="Q65" i="1"/>
  <c r="R69" i="1"/>
  <c r="R77" i="1"/>
  <c r="R81" i="1"/>
  <c r="R86" i="1"/>
  <c r="R90" i="1"/>
  <c r="R94" i="1"/>
  <c r="R98" i="1"/>
  <c r="R102" i="1"/>
  <c r="R106" i="1"/>
  <c r="R110" i="1"/>
  <c r="R114" i="1"/>
  <c r="R118" i="1"/>
  <c r="R122" i="1"/>
  <c r="Q171" i="1"/>
  <c r="Q172" i="1"/>
  <c r="R175" i="1"/>
  <c r="Q187" i="1"/>
  <c r="Q188" i="1"/>
  <c r="R191" i="1"/>
  <c r="Q204" i="1"/>
  <c r="Q205" i="1"/>
  <c r="R208" i="1"/>
  <c r="Q220" i="1"/>
  <c r="Q221" i="1"/>
  <c r="R224" i="1"/>
  <c r="Q237" i="1"/>
  <c r="R14" i="1"/>
  <c r="R50" i="1"/>
  <c r="R58" i="1"/>
  <c r="Q64" i="1"/>
  <c r="R65" i="1"/>
  <c r="R128" i="1"/>
  <c r="Q129" i="1"/>
  <c r="Q130" i="1"/>
  <c r="Q131" i="1"/>
  <c r="Q134" i="1"/>
  <c r="Q135" i="1"/>
  <c r="Q138" i="1"/>
  <c r="Q139" i="1"/>
  <c r="Q142" i="1"/>
  <c r="Q143" i="1"/>
  <c r="Q146" i="1"/>
  <c r="Q147" i="1"/>
  <c r="Q150" i="1"/>
  <c r="Q151" i="1"/>
  <c r="Q154" i="1"/>
  <c r="Q155" i="1"/>
  <c r="Q158" i="1"/>
  <c r="Q159" i="1"/>
  <c r="Q162" i="1"/>
  <c r="Q163" i="1"/>
  <c r="Q166" i="1"/>
  <c r="Q167" i="1"/>
  <c r="Q170" i="1"/>
  <c r="R171" i="1"/>
  <c r="Q183" i="1"/>
  <c r="Q184" i="1"/>
  <c r="Q200" i="1"/>
  <c r="Q201" i="1"/>
  <c r="Q216" i="1"/>
  <c r="Q217" i="1"/>
  <c r="Q232" i="1"/>
  <c r="R7" i="1"/>
  <c r="R18" i="1"/>
  <c r="R26" i="1"/>
  <c r="R34" i="1"/>
  <c r="R42" i="1"/>
  <c r="Q13" i="1"/>
  <c r="Q16" i="1"/>
  <c r="Q24" i="1"/>
  <c r="Q32" i="1"/>
  <c r="Q40" i="1"/>
  <c r="Q48" i="1"/>
  <c r="Q49" i="1"/>
  <c r="R54" i="1"/>
  <c r="Q56" i="1"/>
  <c r="Q57" i="1"/>
  <c r="R63" i="1"/>
  <c r="S64" i="1"/>
  <c r="R67" i="1"/>
  <c r="R71" i="1"/>
  <c r="R75" i="1"/>
  <c r="R79" i="1"/>
  <c r="R83" i="1"/>
  <c r="R88" i="1"/>
  <c r="R92" i="1"/>
  <c r="R96" i="1"/>
  <c r="Q126" i="1"/>
  <c r="R129" i="1"/>
  <c r="R130" i="1"/>
  <c r="R134" i="1"/>
  <c r="R138" i="1"/>
  <c r="R142" i="1"/>
  <c r="R146" i="1"/>
  <c r="R150" i="1"/>
  <c r="R154" i="1"/>
  <c r="R158" i="1"/>
  <c r="R162" i="1"/>
  <c r="R166" i="1"/>
  <c r="R170" i="1"/>
  <c r="R183" i="1"/>
  <c r="R200" i="1"/>
  <c r="R216" i="1"/>
  <c r="Q228" i="1"/>
  <c r="Q229" i="1"/>
  <c r="R232" i="1"/>
  <c r="S3" i="1"/>
  <c r="S7" i="1"/>
  <c r="S66" i="1"/>
  <c r="R66" i="1"/>
  <c r="Q3" i="1"/>
  <c r="Q10" i="1"/>
  <c r="S13" i="1"/>
  <c r="R15" i="1"/>
  <c r="S17" i="1"/>
  <c r="Q23" i="1"/>
  <c r="S25" i="1"/>
  <c r="Q31" i="1"/>
  <c r="S33" i="1"/>
  <c r="Q39" i="1"/>
  <c r="S41" i="1"/>
  <c r="Q47" i="1"/>
  <c r="S49" i="1"/>
  <c r="Q55" i="1"/>
  <c r="S57" i="1"/>
  <c r="S59" i="1"/>
  <c r="Q59" i="1"/>
  <c r="Q60" i="1"/>
  <c r="S62" i="1"/>
  <c r="Q133" i="1"/>
  <c r="S133" i="1"/>
  <c r="R133" i="1"/>
  <c r="Q5" i="1"/>
  <c r="R6" i="1"/>
  <c r="Q14" i="1"/>
  <c r="Q21" i="1"/>
  <c r="S23" i="1"/>
  <c r="Q29" i="1"/>
  <c r="S31" i="1"/>
  <c r="Q37" i="1"/>
  <c r="S39" i="1"/>
  <c r="Q45" i="1"/>
  <c r="S47" i="1"/>
  <c r="Q53" i="1"/>
  <c r="S55" i="1"/>
  <c r="S60" i="1"/>
  <c r="Q66" i="1"/>
  <c r="R68" i="1"/>
  <c r="Q68" i="1"/>
  <c r="R72" i="1"/>
  <c r="Q72" i="1"/>
  <c r="R76" i="1"/>
  <c r="Q76" i="1"/>
  <c r="R80" i="1"/>
  <c r="Q80" i="1"/>
  <c r="R84" i="1"/>
  <c r="Q84" i="1"/>
  <c r="R89" i="1"/>
  <c r="Q89" i="1"/>
  <c r="R93" i="1"/>
  <c r="Q93" i="1"/>
  <c r="R97" i="1"/>
  <c r="Q97" i="1"/>
  <c r="R101" i="1"/>
  <c r="Q101" i="1"/>
  <c r="R105" i="1"/>
  <c r="Q105" i="1"/>
  <c r="R109" i="1"/>
  <c r="Q109" i="1"/>
  <c r="R113" i="1"/>
  <c r="Q113" i="1"/>
  <c r="R117" i="1"/>
  <c r="Q117" i="1"/>
  <c r="R121" i="1"/>
  <c r="Q121" i="1"/>
  <c r="R125" i="1"/>
  <c r="Q125" i="1"/>
  <c r="R174" i="1"/>
  <c r="Q174" i="1"/>
  <c r="R178" i="1"/>
  <c r="Q178" i="1"/>
  <c r="R182" i="1"/>
  <c r="Q182" i="1"/>
  <c r="R186" i="1"/>
  <c r="Q186" i="1"/>
  <c r="R190" i="1"/>
  <c r="Q190" i="1"/>
  <c r="R194" i="1"/>
  <c r="Q194" i="1"/>
  <c r="R199" i="1"/>
  <c r="Q199" i="1"/>
  <c r="R203" i="1"/>
  <c r="Q203" i="1"/>
  <c r="R207" i="1"/>
  <c r="Q207" i="1"/>
  <c r="R211" i="1"/>
  <c r="Q211" i="1"/>
  <c r="R215" i="1"/>
  <c r="Q215" i="1"/>
  <c r="R219" i="1"/>
  <c r="Q219" i="1"/>
  <c r="R223" i="1"/>
  <c r="Q223" i="1"/>
  <c r="R227" i="1"/>
  <c r="Q227" i="1"/>
  <c r="R231" i="1"/>
  <c r="Q231" i="1"/>
  <c r="R235" i="1"/>
  <c r="Q235" i="1"/>
  <c r="Q18" i="1"/>
  <c r="Q22" i="1"/>
  <c r="Q26" i="1"/>
  <c r="Q30" i="1"/>
  <c r="Q34" i="1"/>
  <c r="Q38" i="1"/>
  <c r="Q42" i="1"/>
  <c r="Q46" i="1"/>
  <c r="Q50" i="1"/>
  <c r="Q54" i="1"/>
  <c r="Q58" i="1"/>
  <c r="Q63" i="1"/>
  <c r="Q67" i="1"/>
  <c r="R70" i="1"/>
  <c r="Q71" i="1"/>
  <c r="R74" i="1"/>
  <c r="Q75" i="1"/>
  <c r="R78" i="1"/>
  <c r="Q79" i="1"/>
  <c r="R82" i="1"/>
  <c r="Q83" i="1"/>
  <c r="R87" i="1"/>
  <c r="Q88" i="1"/>
  <c r="R91" i="1"/>
  <c r="Q92" i="1"/>
  <c r="R95" i="1"/>
  <c r="Q96" i="1"/>
  <c r="R99" i="1"/>
  <c r="Q100" i="1"/>
  <c r="R103" i="1"/>
  <c r="Q104" i="1"/>
  <c r="R107" i="1"/>
  <c r="Q108" i="1"/>
  <c r="R111" i="1"/>
  <c r="Q112" i="1"/>
  <c r="R115" i="1"/>
  <c r="Q116" i="1"/>
  <c r="R119" i="1"/>
  <c r="Q120" i="1"/>
  <c r="R123" i="1"/>
  <c r="Q124" i="1"/>
  <c r="Q128" i="1"/>
  <c r="R132" i="1"/>
  <c r="Q132" i="1"/>
  <c r="R137" i="1"/>
  <c r="Q137" i="1"/>
  <c r="R141" i="1"/>
  <c r="Q141" i="1"/>
  <c r="R145" i="1"/>
  <c r="Q145" i="1"/>
  <c r="R149" i="1"/>
  <c r="Q149" i="1"/>
  <c r="R153" i="1"/>
  <c r="Q153" i="1"/>
  <c r="R157" i="1"/>
  <c r="Q157" i="1"/>
  <c r="R161" i="1"/>
  <c r="Q161" i="1"/>
  <c r="R165" i="1"/>
  <c r="Q165" i="1"/>
  <c r="R169" i="1"/>
  <c r="Q169" i="1"/>
  <c r="S174" i="1"/>
  <c r="S178" i="1"/>
  <c r="S182" i="1"/>
  <c r="S186" i="1"/>
  <c r="S190" i="1"/>
  <c r="S194" i="1"/>
  <c r="S199" i="1"/>
  <c r="S203" i="1"/>
  <c r="S207" i="1"/>
  <c r="S211" i="1"/>
  <c r="S215" i="1"/>
  <c r="S219" i="1"/>
  <c r="S223" i="1"/>
  <c r="S227" i="1"/>
  <c r="S231" i="1"/>
  <c r="S235" i="1"/>
  <c r="R131" i="1"/>
  <c r="R135" i="1"/>
  <c r="Q136" i="1"/>
  <c r="R139" i="1"/>
  <c r="Q140" i="1"/>
  <c r="R143" i="1"/>
  <c r="Q144" i="1"/>
  <c r="R147" i="1"/>
  <c r="Q148" i="1"/>
  <c r="R151" i="1"/>
  <c r="Q152" i="1"/>
  <c r="R155" i="1"/>
  <c r="Q156" i="1"/>
  <c r="R159" i="1"/>
  <c r="Q160" i="1"/>
  <c r="R163" i="1"/>
  <c r="Q164" i="1"/>
  <c r="R167" i="1"/>
  <c r="Q168" i="1"/>
  <c r="R172" i="1"/>
  <c r="Q173" i="1"/>
  <c r="R176" i="1"/>
  <c r="Q177" i="1"/>
  <c r="R180" i="1"/>
  <c r="Q181" i="1"/>
  <c r="R184" i="1"/>
  <c r="Q185" i="1"/>
  <c r="R188" i="1"/>
  <c r="Q189" i="1"/>
  <c r="R192" i="1"/>
  <c r="Q193" i="1"/>
  <c r="R196" i="1"/>
  <c r="Q198" i="1"/>
  <c r="R201" i="1"/>
  <c r="Q202" i="1"/>
  <c r="R205" i="1"/>
  <c r="Q206" i="1"/>
  <c r="R209" i="1"/>
  <c r="Q210" i="1"/>
  <c r="R213" i="1"/>
  <c r="Q214" i="1"/>
  <c r="R217" i="1"/>
  <c r="Q218" i="1"/>
  <c r="R221" i="1"/>
  <c r="Q222" i="1"/>
  <c r="R225" i="1"/>
  <c r="Q226" i="1"/>
  <c r="R229" i="1"/>
  <c r="Q230" i="1"/>
  <c r="R233" i="1"/>
  <c r="Q234" i="1"/>
  <c r="R237" i="1"/>
  <c r="Q238" i="1"/>
  <c r="R136" i="1"/>
  <c r="R140" i="1"/>
  <c r="R144" i="1"/>
  <c r="R148" i="1"/>
  <c r="R152" i="1"/>
  <c r="R156" i="1"/>
  <c r="R160" i="1"/>
  <c r="R164" i="1"/>
  <c r="R168" i="1"/>
  <c r="R173" i="1"/>
  <c r="R177" i="1"/>
  <c r="R181" i="1"/>
  <c r="R185" i="1"/>
  <c r="R189" i="1"/>
  <c r="R193" i="1"/>
  <c r="R198" i="1"/>
  <c r="R202" i="1"/>
  <c r="R206" i="1"/>
  <c r="R210" i="1"/>
  <c r="R214" i="1"/>
  <c r="R218" i="1"/>
  <c r="R222" i="1"/>
  <c r="R226" i="1"/>
  <c r="R230" i="1"/>
  <c r="R234" i="1"/>
  <c r="R238" i="1"/>
</calcChain>
</file>

<file path=xl/sharedStrings.xml><?xml version="1.0" encoding="utf-8"?>
<sst xmlns="http://schemas.openxmlformats.org/spreadsheetml/2006/main" count="4612" uniqueCount="523">
  <si>
    <t>2835_S_SS-34BBMUD_X1_27A(1S_70)</t>
  </si>
  <si>
    <t>S</t>
  </si>
  <si>
    <t>S-34BBMUD</t>
  </si>
  <si>
    <t>X1</t>
  </si>
  <si>
    <t>1S</t>
  </si>
  <si>
    <t>27A</t>
  </si>
  <si>
    <t>Нет</t>
  </si>
  <si>
    <t>2835_S_SS-34BBMUD_X1_30A(1S_70)</t>
  </si>
  <si>
    <t>30A</t>
  </si>
  <si>
    <t>2835_S_SS-34BBMUD_X1_40A(1S_70)</t>
  </si>
  <si>
    <t>40A</t>
  </si>
  <si>
    <t>2835_S_SS-34BBMUD_X1_50A(1S_70)</t>
  </si>
  <si>
    <t>50A</t>
  </si>
  <si>
    <t>3030_R_S-35EBMUD-A_X1_27A(1S_70)</t>
  </si>
  <si>
    <t>R</t>
  </si>
  <si>
    <t>S-35EBMUD-A</t>
  </si>
  <si>
    <t>3030_R_S-35EBMUD-A_X1_30A(1S_70)</t>
  </si>
  <si>
    <t>3030_R_S-35EBMUD-A_X1_40A(1S_70)</t>
  </si>
  <si>
    <t>3030_R_S-35EBMUD-A_X1_50A(1S_70)</t>
  </si>
  <si>
    <t>3030_R_S-35EBMUD-A_X2_27A(2S_70)</t>
  </si>
  <si>
    <t>X2</t>
  </si>
  <si>
    <t>2S</t>
  </si>
  <si>
    <t>3030_R_S-35EBMUD-A_X2_30A(2S_70)</t>
  </si>
  <si>
    <t>3030_R_S-35EBMUD-A_X2_40A(2S_70)</t>
  </si>
  <si>
    <t>Да</t>
  </si>
  <si>
    <t>3030_R_S-35EBMUD-A_X2_50A(2S_70)</t>
  </si>
  <si>
    <t>5050_R_S-35EBMUD-A_X4_27A(2S2P_70)</t>
  </si>
  <si>
    <t>X4</t>
  </si>
  <si>
    <t>2S2P</t>
  </si>
  <si>
    <t>5050_R_S-35EBMUD-A_X4_30A(2S2P_70)</t>
  </si>
  <si>
    <t>5050_R_S-35EBMUD-A_X4_40A(2S2P_70)</t>
  </si>
  <si>
    <t>5050_R_S-35EBMUD-A_X4_50A(2S2P_70)</t>
  </si>
  <si>
    <t>5050_R_S-34BBMUD_X8_27A(8S_70)</t>
  </si>
  <si>
    <t>X8</t>
  </si>
  <si>
    <t>8S</t>
  </si>
  <si>
    <t>5050_R_S-34BBMUD_X8_27A(2S4P_70)</t>
  </si>
  <si>
    <t>2S4P</t>
  </si>
  <si>
    <t>5050_R_S-34BBMUD_X8_30A(8S_70)</t>
  </si>
  <si>
    <t>5050_R_S-34BBMUD_X8_30A(2S4P_70)</t>
  </si>
  <si>
    <t>5050_R_S-34BBMUD_X8_40A(8S_70)</t>
  </si>
  <si>
    <t>5050_R_S-34BBMUD_X8_40A(2S4P_70)</t>
  </si>
  <si>
    <t>5050_R_S-34BBMUD_X8_50A(2S4P_70)</t>
  </si>
  <si>
    <t>5050_R_S-34BBMUD_X8_50A(8S_70)</t>
  </si>
  <si>
    <t>5050_R_S-35EBMUD-A_X8_27A(8S_70)</t>
  </si>
  <si>
    <t>Необходимо подтвердить</t>
  </si>
  <si>
    <t>5050_R_S-35EBMUD-A_X8_27A(2S4P_70)</t>
  </si>
  <si>
    <t>5050_R_S-35EBMUD-A_X8_30A(8S_70)</t>
  </si>
  <si>
    <t>5050_R_S-35EBMUD-A_X8_30A(2S4P_70)</t>
  </si>
  <si>
    <t>5050_R_S-35EBMUD-A_X8_40A(8S_70)</t>
  </si>
  <si>
    <t>5050_R_S-35EBMUD-A_X8_40A(2S4P_70)</t>
  </si>
  <si>
    <t>5050_S_S-35EBMUD-A_X10_40A(2S5P_70)</t>
  </si>
  <si>
    <t>X10</t>
  </si>
  <si>
    <t>2S5P</t>
  </si>
  <si>
    <t>5050_R_S-35EBMUD-A_X8_50A(2S4P_70)</t>
  </si>
  <si>
    <t xml:space="preserve">X8 </t>
  </si>
  <si>
    <t>5050_R_S-35EBMUD-A_X8_50A(8S_70)</t>
  </si>
  <si>
    <t>2835_S_SS-34BBMUD_X1_27A(1S_80)</t>
  </si>
  <si>
    <t>2835_S_SS-34BBMUD_X1_30A(1S_80)</t>
  </si>
  <si>
    <t>2835_S_SS-34BBMUD_X1_40A(1S_80)</t>
  </si>
  <si>
    <t>2835_S_SS-34BBMUD_X1_50A(1S_80)</t>
  </si>
  <si>
    <t>3030_R_S-35EBMUD-A_X1_27A(1S_80)</t>
  </si>
  <si>
    <t>3030_R_S-35EBMUD-A_X1_30A(1S_80)</t>
  </si>
  <si>
    <t>3030_R_S-35EBMUD-A_X1_40A(1S_80)</t>
  </si>
  <si>
    <t>3030_R_S-35EBMUD-A_X1_50A(1S_80)</t>
  </si>
  <si>
    <t>3030_R_S-35EBMUD-A_X2_27A(2S_80)</t>
  </si>
  <si>
    <t>3030_R_S-35EBMUD-A_X2_30A(2S_80)</t>
  </si>
  <si>
    <t>3030_R_S-35EBMUD-A_X2_40A(2S_80)</t>
  </si>
  <si>
    <t>3030_R_S-35EBMUD-A_X2_50A(2S_80)</t>
  </si>
  <si>
    <t>5050_R_S-35EBMUD-A_X4_27A(2S2P_80)</t>
  </si>
  <si>
    <t>5050_R_S-35EBMUD-A_X4_30A(2S2P_80)</t>
  </si>
  <si>
    <t>5050_R_S-35EBMUD-A_X4_40A(2S2P_80)</t>
  </si>
  <si>
    <t>5050_R_S-35EBMUD-A_X4_50A(2S2P_80)</t>
  </si>
  <si>
    <t>5050_R_S-35EBMUD-A_X8_27A(8S_80)</t>
  </si>
  <si>
    <t>5050_R_S-35EBMUD-A_X8_27A(2S4P_80)</t>
  </si>
  <si>
    <t>5050_S_S-35EBMUD-A_X10_27A(2S5P_80)</t>
  </si>
  <si>
    <t>5050_R_S-35EBMUD-A_X8_30A(8S_80)</t>
  </si>
  <si>
    <t>5050_R_S-35EBMUD-A_X8_30A(2S4P_80)</t>
  </si>
  <si>
    <t>5050_R_S-35EBMUD-A_X8_40A(8S_80)</t>
  </si>
  <si>
    <t>5050_R_S-35EBMUD-A_X8_40A(2S4P_80)</t>
  </si>
  <si>
    <t>5050_R_S-35EBMUD-A_X8_50A(2S4P_80)</t>
  </si>
  <si>
    <t>5050_R_S-35EBMUD-A_X8_50A(8S_80)</t>
  </si>
  <si>
    <t>2835_S_SBXCD2240_X1_27A(1S_70)</t>
  </si>
  <si>
    <t>BXCD2240</t>
  </si>
  <si>
    <t>2835_S_SBXCD2240_X1_30A(1S_70)</t>
  </si>
  <si>
    <t>2835_S_SBXCD2240_X1_40A(1S_70)</t>
  </si>
  <si>
    <t>2835_S_SBXCD2240_X1_50A(1S_70)</t>
  </si>
  <si>
    <t>3030_R_BXCD2240_X1_27A(1S_70)</t>
  </si>
  <si>
    <t>3030_R_BXCD2240_X1_30A(1S_70)</t>
  </si>
  <si>
    <t>3030_R_BXCD2240_X1_40A(1S_70)</t>
  </si>
  <si>
    <t>3030_R_BXCD2240_X1_50A(1S_70)</t>
  </si>
  <si>
    <t>3030_R_BXCD2240_X2_27A(2S_70)</t>
  </si>
  <si>
    <t>3030_R_BXCD2240_X2_30A(2S_70)</t>
  </si>
  <si>
    <t>3030_R_BXCD2240_X2_40A(2S_70)</t>
  </si>
  <si>
    <t>3030_R_BXCD2240_X2_50A(2S_70)</t>
  </si>
  <si>
    <t>5050_R_BXCD2240_X4_27A(2S2P_70)</t>
  </si>
  <si>
    <t>5050_R_BXCD2240_X4_30A(2S2P_70)</t>
  </si>
  <si>
    <t>5050_R_BXCD2240_X4_40A(2S2P_70)</t>
  </si>
  <si>
    <t>5050_R_BXCD2240_X4_50A(2S2P_70)</t>
  </si>
  <si>
    <t>5050_R_BXCD2240_X8_27A(8S_70)</t>
  </si>
  <si>
    <t>5050_R_BXCD2240_X8_27A(2S4P_70)</t>
  </si>
  <si>
    <t>5050_R_BXCD2240_X8_30A(8S_70)</t>
  </si>
  <si>
    <t>5050_R_BXCD2240_X8_30A(2S4P_70)</t>
  </si>
  <si>
    <t>5050_R_BXCD2240_X8_40A(8S_70)</t>
  </si>
  <si>
    <t>5050_R_BXCD2240_X8_40A(2S4P_70)</t>
  </si>
  <si>
    <t>5050_R_BXCD2240_X8_50A(2S4P_70)</t>
  </si>
  <si>
    <t>5050_R_BXCD2240_X8_50A(8S_70)</t>
  </si>
  <si>
    <t>2835_S_SBXCD2240_X1_27A(1S_80)</t>
  </si>
  <si>
    <t>2835_S_SBXCD2240_X1_30A(1S_80)</t>
  </si>
  <si>
    <t>2835_S_SBXCD2240_X1_40A(1S_80)</t>
  </si>
  <si>
    <t>2835_S_SBXCD2240_X1_50A(1S_80)</t>
  </si>
  <si>
    <t>3030_R_BXCD2240_X1_27A(1S_80)</t>
  </si>
  <si>
    <t>3030_R_BXCD2240_X1_30A(1S_80)</t>
  </si>
  <si>
    <t>3030_R_BXCD2240_X1_40A(1S_80)</t>
  </si>
  <si>
    <t>3030_R_BXCD2240_X1_50A(1S_80)</t>
  </si>
  <si>
    <t>3030_R_BXCD2240_X2_27A(2S_80)</t>
  </si>
  <si>
    <t>3030_R_BXCD2240_X2_30A(2S_80)</t>
  </si>
  <si>
    <t>3030_R_BXCD2240_X2_40A(2S_80)</t>
  </si>
  <si>
    <t>3030_R_BXCD2240_X2_50A(2S_80)</t>
  </si>
  <si>
    <t>5050_R_BXCD2240_X4_27A(2S2P_80)</t>
  </si>
  <si>
    <t>5050_R_BXCD2240_X4_30A(2S2P_80)</t>
  </si>
  <si>
    <t>5050_R_BXCD2240_X4_40A(2S2P_80)</t>
  </si>
  <si>
    <t>5050_R_BXCD2240_X4_50A(2S2P_80)</t>
  </si>
  <si>
    <t>5050_R_BXCD2240_X8_27A(8S_80)</t>
  </si>
  <si>
    <t>5050_R_BXCD2240_X8_27A(2S4P_80)</t>
  </si>
  <si>
    <t>5050_R_BXCD2240_X8_30A(8S_80)</t>
  </si>
  <si>
    <t>5050_R_BXCD2240_X8_30A(2S4P_80)</t>
  </si>
  <si>
    <t>5050_R_BXCD2240_X8_40A(8S_80)</t>
  </si>
  <si>
    <t>5050_R_BXCD2240_X8_40A(2S4P_80)</t>
  </si>
  <si>
    <t>5050_R_BXCD2240_X8_50A(2S4P_80)</t>
  </si>
  <si>
    <t>5050_R_BXCD2240_X8_50A(8S_80)</t>
  </si>
  <si>
    <t>2835_S_SS-35EBMUD-A_X1_27A(1S_80)</t>
  </si>
  <si>
    <t>2835_S_SS-35EBMUD-A_X1_30A(1S_80)</t>
  </si>
  <si>
    <t>2835_S_S-35EBMUD-A_X1_40A(1S_80)</t>
  </si>
  <si>
    <t>2835_S_SS-35EBMUD-A_X1_50A(1S_80)</t>
  </si>
  <si>
    <t>5050_S_S-35EBMUD-A_X10_50A(2S5P_80)</t>
  </si>
  <si>
    <t>5050_S_S-35EBMUD-A_X10_50A(2S5P_70)</t>
  </si>
  <si>
    <t>2835_S_SS-34BBMUD_X1_27B(1S_70)</t>
  </si>
  <si>
    <t>27B</t>
  </si>
  <si>
    <t>2835_S_SS-34BBMUD_X1_30B(1S_70)</t>
  </si>
  <si>
    <t>30B</t>
  </si>
  <si>
    <t>2835_S_SS-34BBMUD_X1_40B(1S_70)</t>
  </si>
  <si>
    <t>40B</t>
  </si>
  <si>
    <t>2835_S_SS-34BBMUD_X1_50B(1S_70)</t>
  </si>
  <si>
    <t>50B</t>
  </si>
  <si>
    <t>3030_R_S-35EBMUD-A_X1_27B(1S_70)</t>
  </si>
  <si>
    <t>3030_R_S-35EBMUD-A_X1_30B(1S_70)</t>
  </si>
  <si>
    <t>3030_R_S-35EBMUD-A_X1_40B(1S_70)</t>
  </si>
  <si>
    <t>3030_R_S-35EBMUD-A_X1_50B(1S_70)</t>
  </si>
  <si>
    <t>3030_R_S-35EBMUD-A_X2_27B(2S_70)</t>
  </si>
  <si>
    <t>3030_R_S-35EBMUD-A_X2_30B(2S_70)</t>
  </si>
  <si>
    <t>3030_R_S-35EBMUD-A_X2_40B(2S_70)</t>
  </si>
  <si>
    <t>3030_R_S-35EBMUD-A_X2_50B(2S_70)</t>
  </si>
  <si>
    <t>5050_R_S-35EBMUD-A_X4_27B(2S2P_70)</t>
  </si>
  <si>
    <t>5050_R_S-35EBMUD-A_X4_30B(2S2P_70)</t>
  </si>
  <si>
    <t>5050_R_S-35EBMUD-A_X4_40B(2S2P_70)</t>
  </si>
  <si>
    <t>5050_R_S-35EBMUD-A_X4_50B(2S2P_70)</t>
  </si>
  <si>
    <t>5050_R_S-34BBMUD_X8_27B(8S_70)</t>
  </si>
  <si>
    <t>5050_R_S-34BBMUD_X8_27B(2S4P_70)</t>
  </si>
  <si>
    <t>5050_R_S-34BBMUD_X8_30B(8S_70)</t>
  </si>
  <si>
    <t>5050_R_S-34BBMUD_X8_30B(2S4P_70)</t>
  </si>
  <si>
    <t>5050_R_S-34BBMUD_X8_40B(8S_70)</t>
  </si>
  <si>
    <t>5050_R_S-34BBMUD_X8_40B(2S4P_70)</t>
  </si>
  <si>
    <t>5050_R_S-34BBMUD_X8_50B(2S4P_70)</t>
  </si>
  <si>
    <t>5050_R_S-34BBMUD_X8_50B(8S_70)</t>
  </si>
  <si>
    <t>5050_R_S-35EBMUD-A_X8_27B(8S_70)</t>
  </si>
  <si>
    <t>5050_R_S-35EBMUD-A_X8_27B(2S4P_70)</t>
  </si>
  <si>
    <t>5050_R_S-35EBMUD-A_X8_30B(8S_70)</t>
  </si>
  <si>
    <t>5050_R_S-35EBMUD-A_X8_30B(2S4P_70)</t>
  </si>
  <si>
    <t>5050_R_S-35EBMUD-A_X8_40B(8S_70)</t>
  </si>
  <si>
    <t>5050_R_S-35EBMUD-A_X8_40B(2S4P_70)</t>
  </si>
  <si>
    <t>5050_S_S-35EBMUD-A_X10_40B(2S5P_70)</t>
  </si>
  <si>
    <t>5050_R_S-35EBMUD-A_X8_50B(2S4P_70)</t>
  </si>
  <si>
    <t>5050_R_S-35EBMUD-A_X8_50B(8S_70)</t>
  </si>
  <si>
    <t>2835_S_SS-34BBMUD_X1_27B(1S_80)</t>
  </si>
  <si>
    <t>2835_S_SS-34BBMUD_X1_30B(1S_80)</t>
  </si>
  <si>
    <t>2835_S_SS-34BBMUD_X1_40B(1S_80)</t>
  </si>
  <si>
    <t>2835_S_SS-34BBMUD_X1_50B(1S_80)</t>
  </si>
  <si>
    <t>3030_R_S-35EBMUD-A_X1_27B(1S_80)</t>
  </si>
  <si>
    <t>3030_R_S-35EBMUD-A_X1_30B(1S_80)</t>
  </si>
  <si>
    <t>3030_R_S-35EBMUD-A_X1_40B(1S_80)</t>
  </si>
  <si>
    <t>3030_R_S-35EBMUD-A_X1_50B(1S_80)</t>
  </si>
  <si>
    <t>3030_R_S-35EBMUD-A_X2_27B(2S_80)</t>
  </si>
  <si>
    <t>3030_R_S-35EBMUD-A_X2_30B(2S_80)</t>
  </si>
  <si>
    <t>3030_R_S-35EBMUD-A_X2_40B(2S_80)</t>
  </si>
  <si>
    <t>3030_R_S-35EBMUD-A_X2_50B(2S_80)</t>
  </si>
  <si>
    <t>5050_R_S-35EBMUD-A_X4_27B(2S2P_80)</t>
  </si>
  <si>
    <t>5050_R_S-35EBMUD-A_X4_30B(2S2P_80)</t>
  </si>
  <si>
    <t>5050_R_S-35EBMUD-A_X4_40B(2S2P_80)</t>
  </si>
  <si>
    <t>5050_R_S-35EBMUD-A_X4_50B(2S2P_80)</t>
  </si>
  <si>
    <t>5050_R_S-35EBMUD-A_X8_27B(8S_80)</t>
  </si>
  <si>
    <t>5050_R_S-35EBMUD-A_X8_27B(2S4P_80)</t>
  </si>
  <si>
    <t>5050_S_S-35EBMUD-A_X10_27B(2S5P_80)</t>
  </si>
  <si>
    <t>5050_R_S-35EBMUD-A_X8_30B(8S_80)</t>
  </si>
  <si>
    <t>5050_R_S-35EBMUD-A_X8_30B(2S4P_80)</t>
  </si>
  <si>
    <t>5050_R_S-35EBMUD-A_X8_40B(8S_80)</t>
  </si>
  <si>
    <t>5050_R_S-35EBMUD-A_X8_40B(2S4P_80)</t>
  </si>
  <si>
    <t>5050_R_S-35EBMUD-A_X8_50B(2S4P_80)</t>
  </si>
  <si>
    <t>5050_R_S-35EBMUD-A_X8_50B(8S_80)</t>
  </si>
  <si>
    <t>2835_S_SBXCD2240_X1_27B(1S_70)</t>
  </si>
  <si>
    <t>2835_S_SBXCD2240_X1_30B(1S_70)</t>
  </si>
  <si>
    <t>2835_S_SBXCD2240_X1_40B(1S_70)</t>
  </si>
  <si>
    <t>2835_S_SBXCD2240_X1_50B(1S_70)</t>
  </si>
  <si>
    <t>3030_R_BXCD2240_X1_27B(1S_70)</t>
  </si>
  <si>
    <t>3030_R_BXCD2240_X1_30B(1S_70)</t>
  </si>
  <si>
    <t>3030_R_BXCD2240_X1_40B(1S_70)</t>
  </si>
  <si>
    <t>3030_R_BXCD2240_X1_50B(1S_70)</t>
  </si>
  <si>
    <t>3030_R_BXCD2240_X2_27B(2S_70)</t>
  </si>
  <si>
    <t>3030_R_BXCD2240_X2_30B(2S_70)</t>
  </si>
  <si>
    <t>3030_R_BXCD2240_X2_40B(2S_70)</t>
  </si>
  <si>
    <t>3030_R_BXCD2240_X2_50B(2S_70)</t>
  </si>
  <si>
    <t>5050_R_BXCD2240_X4_27B(2S2P_70)</t>
  </si>
  <si>
    <t>5050_R_BXCD2240_X4_30B(2S2P_70)</t>
  </si>
  <si>
    <t>5050_R_BXCD2240_X4_40B(2S2P_70)</t>
  </si>
  <si>
    <t>5050_R_BXCD2240_X4_50B(2S2P_70)</t>
  </si>
  <si>
    <t>5050_R_BXCD2240_X8_27B(8S_70)</t>
  </si>
  <si>
    <t>5050_R_BXCD2240_X8_27B(2S4P_70)</t>
  </si>
  <si>
    <t>5050_R_BXCD2240_X8_30B(8S_70)</t>
  </si>
  <si>
    <t>5050_R_BXCD2240_X8_30B(2S4P_70)</t>
  </si>
  <si>
    <t>5050_R_BXCD2240_X8_40B(8S_70)</t>
  </si>
  <si>
    <t>5050_R_BXCD2240_X8_40B(2S4P_70)</t>
  </si>
  <si>
    <t>5050_R_BXCD2240_X8_50B(2S4P_70)</t>
  </si>
  <si>
    <t>5050_R_BXCD2240_X8_50B(8S_70)</t>
  </si>
  <si>
    <t>2835_S_SBXCD2240_X1_27B(1S_80)</t>
  </si>
  <si>
    <t>2835_S_SBXCD2240_X1_30B(1S_80)</t>
  </si>
  <si>
    <t>2835_S_SBXCD2240_X1_40B(1S_80)</t>
  </si>
  <si>
    <t>2835_S_SBXCD2240_X1_50B(1S_80)</t>
  </si>
  <si>
    <t>3030_R_BXCD2240_X1_27B(1S_80)</t>
  </si>
  <si>
    <t>3030_R_BXCD2240_X1_30B(1S_80)</t>
  </si>
  <si>
    <t>3030_R_BXCD2240_X1_40B(1S_80)</t>
  </si>
  <si>
    <t>3030_R_BXCD2240_X1_50B(1S_80)</t>
  </si>
  <si>
    <t>3030_R_BXCD2240_X2_27B(2S_80)</t>
  </si>
  <si>
    <t>3030_R_BXCD2240_X2_30B(2S_80)</t>
  </si>
  <si>
    <t>3030_R_BXCD2240_X2_40B(2S_80)</t>
  </si>
  <si>
    <t>3030_R_BXCD2240_X2_50B(2S_80)</t>
  </si>
  <si>
    <t>5050_R_BXCD2240_X4_27B(2S2P_80)</t>
  </si>
  <si>
    <t>5050_R_BXCD2240_X4_30B(2S2P_80)</t>
  </si>
  <si>
    <t>5050_R_BXCD2240_X4_40B(2S2P_80)</t>
  </si>
  <si>
    <t>5050_R_BXCD2240_X4_50B(2S2P_80)</t>
  </si>
  <si>
    <t>5050_R_BXCD2240_X8_27B(8S_80)</t>
  </si>
  <si>
    <t>5050_R_BXCD2240_X8_27B(2S4P_80)</t>
  </si>
  <si>
    <t>5050_R_BXCD2240_X8_30B(8S_80)</t>
  </si>
  <si>
    <t>5050_R_BXCD2240_X8_30B(2S4P_80)</t>
  </si>
  <si>
    <t>5050_R_BXCD2240_X8_40B(8S_80)</t>
  </si>
  <si>
    <t>5050_R_BXCD2240_X8_40B(2S4P_80)</t>
  </si>
  <si>
    <t>5050_R_BXCD2240_X8_50B(2S4P_80)</t>
  </si>
  <si>
    <t>5050_R_BXCD2240_X8_50B(8S_80)</t>
  </si>
  <si>
    <t>2835_S_SS-35EBMUD-A_X1_27B(1S_80)</t>
  </si>
  <si>
    <t>2835_S_S-35EBMUD-A_X1_30B(1S_80)</t>
  </si>
  <si>
    <t>2835_S_S-35EBMUD-A_X1_40B(1S_80)</t>
  </si>
  <si>
    <t>2835_S_SS-35EBMUD-A_X1_50B(1S_80)</t>
  </si>
  <si>
    <t>5050_S_S-35EBMUD-A_X10_50B(2S5P_80)</t>
  </si>
  <si>
    <t>5050_S_S-35EBMUD-A_X10_50B(2S5P_70)</t>
  </si>
  <si>
    <t>5050_S_S-35EBMUD-A_X10_40E(2S5P_70)</t>
  </si>
  <si>
    <t>40E</t>
  </si>
  <si>
    <t>5050_R_S-35EBMUD-A_X8_30B(2S4P_90)</t>
  </si>
  <si>
    <t>5050_R_S-35EBMUD-A_X8_40B(2S4P_90)</t>
  </si>
  <si>
    <t>5050_S_S-35EBMUD-A_X10_40A(2S5P_80)</t>
  </si>
  <si>
    <t>5050_S_S-35EBMUD-A_X10_40B(2S5P_80)</t>
  </si>
  <si>
    <t>2835_S_S-34BBMUD_X1_65A(1S_80)</t>
  </si>
  <si>
    <t>65A</t>
  </si>
  <si>
    <t>2835_S_S-34BBMUD_X1_65B(1S_80)</t>
  </si>
  <si>
    <t>65B</t>
  </si>
  <si>
    <t>5050_S_S-35EBMUD-A_X10_27F(2S5P_80)</t>
  </si>
  <si>
    <t>27F</t>
  </si>
  <si>
    <t>5050_S_S-35EBMUD-A_X10_50E(2S5P_70)</t>
  </si>
  <si>
    <t>50E</t>
  </si>
  <si>
    <t>В работе</t>
  </si>
  <si>
    <t>2835_S_S-35EBMUD-A_X1_40A(1S_90)</t>
  </si>
  <si>
    <t>2835_S_S-35EBMUD-A_X1_35B(1S_80)</t>
  </si>
  <si>
    <t>35B</t>
  </si>
  <si>
    <t>5050_S_S-35EBMUD-A_X10_30F(2S5P_70)</t>
  </si>
  <si>
    <t>30F</t>
  </si>
  <si>
    <t>Продукт</t>
  </si>
  <si>
    <t>Апертура</t>
  </si>
  <si>
    <t>Тип корпуса</t>
  </si>
  <si>
    <t>Тип кристалла</t>
  </si>
  <si>
    <t>Количество кристаллов в корпусе</t>
  </si>
  <si>
    <t>Тип разварки</t>
  </si>
  <si>
    <t>Бин</t>
  </si>
  <si>
    <t>CRI</t>
  </si>
  <si>
    <t>Массовая доля силикона</t>
  </si>
  <si>
    <t>Массовая доля люминофора</t>
  </si>
  <si>
    <t>Готовность рецепта</t>
  </si>
  <si>
    <t>Масса силикона, гр.</t>
  </si>
  <si>
    <t xml:space="preserve">Масса отвердителя, гр. </t>
  </si>
  <si>
    <t xml:space="preserve">Масса люминофора #1, гр. </t>
  </si>
  <si>
    <t>Масса люминофора #2, гр.</t>
  </si>
  <si>
    <t>Масса люминофора #3, гр.</t>
  </si>
  <si>
    <t>#1</t>
  </si>
  <si>
    <t>#2</t>
  </si>
  <si>
    <t>#3</t>
  </si>
  <si>
    <t>БИН</t>
  </si>
  <si>
    <t>2835_S_S-34BBMUD_X1_27A(1S_70)</t>
  </si>
  <si>
    <t>2835_S_S-34BBMUD_X1_30A(1S_70)</t>
  </si>
  <si>
    <t>2835_S_S-34BBMUD_X1_40A(1S_70)</t>
  </si>
  <si>
    <t>2835_S_S-34BBMUD_X1_50A(1S_70)</t>
  </si>
  <si>
    <t>2835_S_S-34BBMUD_X1_65A(1S_70)</t>
  </si>
  <si>
    <t>3030_R_S-35EBMUD-A_X1_65A(1S_70)</t>
  </si>
  <si>
    <t>3030_R_S-35EBMUD-A_X2_65A(2S_70)</t>
  </si>
  <si>
    <t>5050_S-35EBMUD-A_X4_50A(2S2P_70)</t>
  </si>
  <si>
    <t>5050_R_S-35EBMUD-A_X4_65A(2S2P_70)</t>
  </si>
  <si>
    <t>5050_R_S-34BBMUD_X8_65A(8S_70)</t>
  </si>
  <si>
    <t>5050_R_S-34BBMUD_X8_65A(2S4P_70)</t>
  </si>
  <si>
    <t>5050_R_S-35EBMUD-A_X8_65A(8S_70)</t>
  </si>
  <si>
    <t>5050_R_S-35EBMUD-A_X8_65A(2S4P_70)</t>
  </si>
  <si>
    <t>2835_S_S34BBMUD_X1_27A(1S_80)</t>
  </si>
  <si>
    <t>S34BBMUD</t>
  </si>
  <si>
    <t>2835_S_S34BBMUD_X1_30A(1S_80)</t>
  </si>
  <si>
    <t>2835_S_S34BBMUD_X1_40A(1S_80)</t>
  </si>
  <si>
    <t>2835_S_S34BBMUD_X1_50A(1S_80)</t>
  </si>
  <si>
    <t>2835_S_S34BBMUD_X1_65A(1S_80)</t>
  </si>
  <si>
    <t>3030_R_S-35EBMUD-A_X1_65A(1S_80)</t>
  </si>
  <si>
    <t>3030_R_S-35EBMUD-A_X2_65A(2S_80)</t>
  </si>
  <si>
    <t>5050_S-35EBMUD-A_X4_30A(2S2P_80)</t>
  </si>
  <si>
    <t>5050_R_S-35EBMUD-A_X4_65A(2S2P_80)</t>
  </si>
  <si>
    <t>5050_R_S-35EBMUD-A_X8_65A(8S_80)</t>
  </si>
  <si>
    <t>5050_R_S-35EBMUD-A_X8_65A(2S4P_80)</t>
  </si>
  <si>
    <t>2835_S_BXCD2240_X1_27A(1S_70)</t>
  </si>
  <si>
    <t>2835_S_BXCD2240_X1_30A(1S_70)</t>
  </si>
  <si>
    <t>2835_S_BXCD2240_X1_40A(1S_70)</t>
  </si>
  <si>
    <t>2835_S_BXCD2240_X1_50A(1S_70)</t>
  </si>
  <si>
    <t>3030_R_BXCD2240_X1_65A(1S_70)</t>
  </si>
  <si>
    <t>3030_R_BXCD2240_X2_65A(2S_70)</t>
  </si>
  <si>
    <t>5050_R_BXCD2240_X4_65A(2S2P_70)</t>
  </si>
  <si>
    <t>5050_R_BXCD2240_X8_65A(8S_70)</t>
  </si>
  <si>
    <t>5050_R_BXCD2240_X8_65A(2S4P_70)</t>
  </si>
  <si>
    <t>2835_S_BXCD2240_X1_27A(1S_80)</t>
  </si>
  <si>
    <t>2835_S_BXCD2240_X1_30A(1S_80)</t>
  </si>
  <si>
    <t>2835_S_BXCD2240_X1_40A(1S_80)</t>
  </si>
  <si>
    <t>2835_S_BXCD2240_X1_50A(1S_80)</t>
  </si>
  <si>
    <t>3030_R_BXCD2240_X1_65A(1S_80)</t>
  </si>
  <si>
    <t>3030_R_BXCD2240_X2_65A(2S_80)</t>
  </si>
  <si>
    <t>5050_R_BXCD2240_X4_65A(2S2P_80)</t>
  </si>
  <si>
    <t>5050_R_BXCD2240_X8_65A(8S_80)</t>
  </si>
  <si>
    <t>5050_R_BXCD2240_X8_65A(2S4P_80)</t>
  </si>
  <si>
    <t>2835_S_S34BBMUD_X1_2770K(1S_77)</t>
  </si>
  <si>
    <t>2835_S_S34BBMUD_X1_30A(1S_77)</t>
  </si>
  <si>
    <t>2835_S_S34BBMUD_X1_40A(1S_77)</t>
  </si>
  <si>
    <t>2835_S_S34BBMUD_X1_50A(1S_77)</t>
  </si>
  <si>
    <t>2835_S_S34BBMUD_X1_65A(1S_77)</t>
  </si>
  <si>
    <t>3030_R_S-35EBMUD-A_X1_2770K(1S_77)</t>
  </si>
  <si>
    <t>3030_R_S-35EBMUD-A_X1_30A(1S_77)</t>
  </si>
  <si>
    <t>3030_R_S-35EBMUD-A_X1_40A(1S_77)</t>
  </si>
  <si>
    <t>3030_R_S-35EBMUD-A_X1_50A(1S_77)</t>
  </si>
  <si>
    <t>3030_R_S-35EBMUD-A_X1_65A(1S_77)</t>
  </si>
  <si>
    <t>3030_R_S-35EBMUD-A_X2_2770K(2S_77)</t>
  </si>
  <si>
    <t>3030_R_S-35EBMUD-A_X2_30A(2S_77)</t>
  </si>
  <si>
    <t>3030_R_S-35EBMUD-A_X2_40A(2S_77)</t>
  </si>
  <si>
    <t>3030_R_S-35EBMUD-A_X2_50A(2S_77)</t>
  </si>
  <si>
    <t>3030_R_S-35EBMUD-A_X2_65A(2S_77)</t>
  </si>
  <si>
    <t>5050_R_S-35EBMUD-A_X4_2770K(2S2P_77)</t>
  </si>
  <si>
    <t>5050_R_S-35EBMUD-A_X4_30A(2S2P_77)</t>
  </si>
  <si>
    <t>5050_R_S-35EBMUD-A_X4_40A(2S2P_77)</t>
  </si>
  <si>
    <t>5050_R_S-35EBMUD-A_X4_50A(2S2P_77)</t>
  </si>
  <si>
    <t>5050_R_S-35EBMUD-A_X4_65A(2S2P_77)</t>
  </si>
  <si>
    <t>5050_R_S34BBMUD_X8_2770K(8S_77)</t>
  </si>
  <si>
    <t>5050_R_S34BBMUD_X8_2770K(2S4P_77)</t>
  </si>
  <si>
    <t>5050_R_S34BBMUD_X8_30A(8S_77)</t>
  </si>
  <si>
    <t>5050_R_S34BBMUD_X8_30A(2S4P_77)</t>
  </si>
  <si>
    <t>5050_R_S34BBMUD_X8_40A(8S_77)</t>
  </si>
  <si>
    <t>5050_R_S34BBMUD_X8_40A(2S4P_77)</t>
  </si>
  <si>
    <t>5050_R_S34BBMUD_X8_50A(2S4P_77)</t>
  </si>
  <si>
    <t>5050_R_S34BBMUD_X8_50A(8S_77)</t>
  </si>
  <si>
    <t>5050_R_S34BBMUD_X8_65A(8S_77)</t>
  </si>
  <si>
    <t>5050_R_S34BBMUD_X8_65A(2S4P_77)</t>
  </si>
  <si>
    <t>5050_R_S-35EBMUD-A_X8_2770K(8S_77)</t>
  </si>
  <si>
    <t>5050_R_S-35EBMUD-A_X8_27A(2S4P_77)</t>
  </si>
  <si>
    <t>5050_R_S-35EBMUD-A_X8_30A(8S_77)</t>
  </si>
  <si>
    <t>5050_R_S-35EBMUD-A_X8_30A(2S4P_77)</t>
  </si>
  <si>
    <t>5050_R_S-35EBMUD-A_X8_40A(8S_77)</t>
  </si>
  <si>
    <t>5050_R_S-35EBMUD-A_X8_40A(2S4P_77)</t>
  </si>
  <si>
    <t>5050_R_S-35EBMUD-A_X8_50A(2S4P_77)</t>
  </si>
  <si>
    <t>5050_R_S-35EBMUD-A_X8_50A(8S_77)</t>
  </si>
  <si>
    <t>5050_R_S-35EBMUD-A_X8_65A(8S_77)</t>
  </si>
  <si>
    <t>5050_R_S-35EBMUD-A_X8_65A(2S4P_77)</t>
  </si>
  <si>
    <t>3030_R_BXCD2240_X2_27A(2p_70)</t>
  </si>
  <si>
    <t>2p</t>
  </si>
  <si>
    <t>3030_R_BXCD2240_X2_30A(2p_70)</t>
  </si>
  <si>
    <t>3030_R_BXCD2240_X2_40A(2p_70)</t>
  </si>
  <si>
    <t>3030_R_BXCD2240_X2_50A(2p_70)</t>
  </si>
  <si>
    <t>3030_R_BXCD2240_X2_65A(2p_70)</t>
  </si>
  <si>
    <t>5050_S_S-35EBMUD-A_X10_30A(2S5P_70)</t>
  </si>
  <si>
    <t>2835_S_LN2235_X1_40A(1S_90)</t>
  </si>
  <si>
    <t>LN2235</t>
  </si>
  <si>
    <t>2835_S_S-35EBMUD-A_X1_50A(1S_80)</t>
  </si>
  <si>
    <t>2835_S_S-35EBMUD-A_X1_50A(1S_90)</t>
  </si>
  <si>
    <t>2835_S_S-35EBMUD-A_X1_30A(1S_90)</t>
  </si>
  <si>
    <t>2835_S_S-35EBMUD-A_X1_40A(1S_70)</t>
  </si>
  <si>
    <t>2835_S_S34BBMUD_X3_40A(3S_80)</t>
  </si>
  <si>
    <t>X3</t>
  </si>
  <si>
    <t>3S</t>
  </si>
  <si>
    <t>2835_S_S34BBMUD_X2_40A(2S_80)</t>
  </si>
  <si>
    <t>2835_S_S42_X2_40A(2S_80)</t>
  </si>
  <si>
    <t>S42</t>
  </si>
  <si>
    <t>2835_S_S42_X1_40A(1S_80)</t>
  </si>
  <si>
    <t>2835_S_S34BBMUD_X2_40A(2P_80)</t>
  </si>
  <si>
    <t>2P</t>
  </si>
  <si>
    <t>3030_R_S-35EBMUD-A_X2_30A(2S_90)</t>
  </si>
  <si>
    <t>5050_R_S-35EBMUD-A_X8_40A(2S4P_90)</t>
  </si>
  <si>
    <t>3030_R_S-35EBMUD-A_X2_40A(2S_90)</t>
  </si>
  <si>
    <t>5050_R_S42_X8_40A(2S4P_70)</t>
  </si>
  <si>
    <t>5050_R_S42_X8_40A(2S4P_80)</t>
  </si>
  <si>
    <t>2835_S_B22Q_X2_40A(2S_80)</t>
  </si>
  <si>
    <t>B22Q</t>
  </si>
  <si>
    <t>5050_S_SAMPLE_X8_50A(2S4P_80)</t>
  </si>
  <si>
    <t>SAMPLE</t>
  </si>
  <si>
    <t>2835_S_S-35EBMUD-A_X2_40A(2S_90)</t>
  </si>
  <si>
    <t>2835_S_S-35EBMUD-A_X2_30A(2S_90)</t>
  </si>
  <si>
    <t>2835_S_TZ2240_X1_30A(1S_80)</t>
  </si>
  <si>
    <t>TZ2240</t>
  </si>
  <si>
    <t>3030_R_S-35EBMUD-A_X2_40A(2P_80)</t>
  </si>
  <si>
    <t>2835_S_S-34BBMUD_X1_27B(1S_70)</t>
  </si>
  <si>
    <t>2835_S_S-34BBMUD_X1_30B(1S_70)</t>
  </si>
  <si>
    <t>2835_S_S-34BBMUD_X1_40B(1S_70)</t>
  </si>
  <si>
    <t>2835_S_S-34BBMUD_X1_50B(1S_70)</t>
  </si>
  <si>
    <t>2835_S_S-34BBMUD_X1_65B(1S_70)</t>
  </si>
  <si>
    <t>3030_R_S-35EBMUD-A_X1_65B(1S_70)</t>
  </si>
  <si>
    <t>3030_R_S-35EBMUD-A_X2_65B(2S_70)</t>
  </si>
  <si>
    <t>5050_S-35EBMUD-A_X4_50B(2S2P_70)</t>
  </si>
  <si>
    <t>5050_R_S-35EBMUD-A_X4_65B(2S2P_70)</t>
  </si>
  <si>
    <t>5050_R_S-34BBMUD_X8_65B(8S_70)</t>
  </si>
  <si>
    <t>5050_R_S-34BBMUD_X8_65B(2S4P_70)</t>
  </si>
  <si>
    <t>5050_R_S-35EBMUD-A_X8_65B(8S_70)</t>
  </si>
  <si>
    <t>5050_R_S-35EBMUD-A_X8_65B(2S4P_70)</t>
  </si>
  <si>
    <t>2835_S_S34BBMUD_X1_27B(1S_80)</t>
  </si>
  <si>
    <t>2835_S_S34BBMUD_X1_30B(1S_80)</t>
  </si>
  <si>
    <t>2835_S_S34BBMUD_X1_40B(1S_80)</t>
  </si>
  <si>
    <t>2835_S_S34BBMUD_X1_50B(1S_80)</t>
  </si>
  <si>
    <t>2835_S_S34BBMUD_X1_65B(1S_80)</t>
  </si>
  <si>
    <t>3030_R_S-35EBMUD-A_X1_65B(1S_80)</t>
  </si>
  <si>
    <t>3030_R_S-35EBMUD-A_X2_65B(2S_80)</t>
  </si>
  <si>
    <t>5050_S-35EBMUD-A_X4_30B(2S2P_80)</t>
  </si>
  <si>
    <t>5050_R_S-35EBMUD-A_X4_65B(2S2P_80)</t>
  </si>
  <si>
    <t>5050_R_S-35EBMUD-A_X8_65B(8S_80)</t>
  </si>
  <si>
    <t>5050_R_S-35EBMUD-A_X8_65B(2S4P_80)</t>
  </si>
  <si>
    <t>2835_S_BXCD2240_X1_27B(1S_70)</t>
  </si>
  <si>
    <t>2835_S_BXCD2240_X1_30B(1S_70)</t>
  </si>
  <si>
    <t>2835_S_BXCD2240_X1_40B(1S_70)</t>
  </si>
  <si>
    <t>2835_S_BXCD2240_X1_50B(1S_70)</t>
  </si>
  <si>
    <t>3030_R_BXCD2240_X1_65B(1S_70)</t>
  </si>
  <si>
    <t>3030_R_BXCD2240_X2_65B(2S_70)</t>
  </si>
  <si>
    <t>5050_R_BXCD2240_X4_65B(2S2P_70)</t>
  </si>
  <si>
    <t>5050_R_BXCD2240_X8_65B(8S_70)</t>
  </si>
  <si>
    <t>5050_R_BXCD2240_X8_65B(2S4P_70)</t>
  </si>
  <si>
    <t>2835_S_BXCD2240_X1_27B(1S_80)</t>
  </si>
  <si>
    <t>2835_S_BXCD2240_X1_30B(1S_80)</t>
  </si>
  <si>
    <t>2835_S_BXCD2240_X1_40B(1S_80)</t>
  </si>
  <si>
    <t>2835_S_BXCD2240_X1_50B(1S_80)</t>
  </si>
  <si>
    <t>3030_R_BXCD2240_X1_65B(1S_80)</t>
  </si>
  <si>
    <t>3030_R_BXCD2240_X2_65B(2S_80)</t>
  </si>
  <si>
    <t>5050_R_BXCD2240_X4_65B(2S2P_80)</t>
  </si>
  <si>
    <t>5050_R_BXCD2240_X8_65B(8S_80)</t>
  </si>
  <si>
    <t>5050_R_BXCD2240_X8_65B(2S4P_80)</t>
  </si>
  <si>
    <t>2835_S_S34BBMUD_X1_30B(1S_77)</t>
  </si>
  <si>
    <t>2835_S_S34BBMUD_X1_40B(1S_77)</t>
  </si>
  <si>
    <t>2835_S_S34BBMUD_X1_50B(1S_77)</t>
  </si>
  <si>
    <t>2835_S_S34BBMUD_X1_65B(1S_77)</t>
  </si>
  <si>
    <t>3030_R_S-35EBMUD-A_X1_30B(1S_77)</t>
  </si>
  <si>
    <t>3030_R_S-35EBMUD-A_X1_40B(1S_77)</t>
  </si>
  <si>
    <t>3030_R_S-35EBMUD-A_X1_50B(1S_77)</t>
  </si>
  <si>
    <t>3030_R_S-35EBMUD-A_X1_65B(1S_77)</t>
  </si>
  <si>
    <t>3030_R_S-35EBMUD-A_X2_30B(2S_77)</t>
  </si>
  <si>
    <t>3030_R_S-35EBMUD-A_X2_40B(2S_77)</t>
  </si>
  <si>
    <t>3030_R_S-35EBMUD-A_X2_50B(2S_77)</t>
  </si>
  <si>
    <t>3030_R_S-35EBMUD-A_X2_65B(2S_77)</t>
  </si>
  <si>
    <t>5050_R_S-35EBMUD-A_X4_30B(2S2P_77)</t>
  </si>
  <si>
    <t>5050_R_S-35EBMUD-A_X4_40B(2S2P_77)</t>
  </si>
  <si>
    <t>5050_R_S-35EBMUD-A_X4_50B(2S2P_77)</t>
  </si>
  <si>
    <t>5050_R_S-35EBMUD-A_X4_65B(2S2P_77)</t>
  </si>
  <si>
    <t>5050_R_S34BBMUD_X8_30B(8S_77)</t>
  </si>
  <si>
    <t>5050_R_S34BBMUD_X8_30B(2S4P_77)</t>
  </si>
  <si>
    <t>5050_R_S34BBMUD_X8_40B(8S_77)</t>
  </si>
  <si>
    <t>5050_R_S34BBMUD_X8_40B(2S4P_77)</t>
  </si>
  <si>
    <t>5050_R_S34BBMUD_X8_50B(2S4P_77)</t>
  </si>
  <si>
    <t>5050_R_S34BBMUD_X8_50B(8S_77)</t>
  </si>
  <si>
    <t>5050_R_S34BBMUD_X8_65B(8S_77)</t>
  </si>
  <si>
    <t>5050_R_S34BBMUD_X8_65B(2S4P_77)</t>
  </si>
  <si>
    <t>5050_R_S-35EBMUD-A_X8_27B(2S4P_77)</t>
  </si>
  <si>
    <t>5050_R_S-35EBMUD-A_X8_30B(8S_77)</t>
  </si>
  <si>
    <t>5050_R_S-35EBMUD-A_X8_30B(2S4P_77)</t>
  </si>
  <si>
    <t>5050_R_S-35EBMUD-A_X8_40B(8S_77)</t>
  </si>
  <si>
    <t>5050_R_S-35EBMUD-A_X8_40B(2S4P_77)</t>
  </si>
  <si>
    <t>5050_R_S-35EBMUD-A_X8_50B(2S4P_77)</t>
  </si>
  <si>
    <t>5050_R_S-35EBMUD-A_X8_50B(8S_77)</t>
  </si>
  <si>
    <t>5050_R_S-35EBMUD-A_X8_65B(8S_77)</t>
  </si>
  <si>
    <t>5050_R_S-35EBMUD-A_X8_65B(2S4P_77)</t>
  </si>
  <si>
    <t>3030_R_BXCD2240_X2_27B(2p_70)</t>
  </si>
  <si>
    <t>3030_R_BXCD2240_X2_30B(2p_70)</t>
  </si>
  <si>
    <t>3030_R_BXCD2240_X2_40B(2p_70)</t>
  </si>
  <si>
    <t>3030_R_BXCD2240_X2_50B(2p_70)</t>
  </si>
  <si>
    <t>3030_R_BXCD2240_X2_65B(2p_70)</t>
  </si>
  <si>
    <t>5050_S_S-35EBMUD-A_X10_30B(2S5P_70)</t>
  </si>
  <si>
    <t>2835_S_LN2235_X1_40B(1S_90)</t>
  </si>
  <si>
    <t>2835_S_S-35EBMUD-A_X1_50B(1S_80)</t>
  </si>
  <si>
    <t>2835_S_S-35EBMUD-A_X1_40B(1S_90)</t>
  </si>
  <si>
    <t>2835_S_S-35EBMUD-A_X1_50B(1S_90)</t>
  </si>
  <si>
    <t>2835_S_S-35EBMUD-A_X1_30B(1S_90)</t>
  </si>
  <si>
    <t>2835_S_S-35EBMUD-A_X1_40B(1S_70)</t>
  </si>
  <si>
    <t>2835_S_S34BBMUD_X3_40B(3S_80)</t>
  </si>
  <si>
    <t>2835_S_S34BBMUD_X2_40B(2S_80)</t>
  </si>
  <si>
    <t>2835_S_S42_X2_40B(2S_80)</t>
  </si>
  <si>
    <t>2835_S_S42_X1_40B(1S_80)</t>
  </si>
  <si>
    <t>2835_S_S34BBMUD_X2_40B(2P_80)</t>
  </si>
  <si>
    <t>3030_R_S-35EBMUD-A_X2_30B(2S_90)</t>
  </si>
  <si>
    <t>3030_R_S-35EBMUD-A_X2_40B(2S_90)</t>
  </si>
  <si>
    <t>5050_R_S42_X8_40B(2S4P_70)</t>
  </si>
  <si>
    <t>5050_R_S42_X8_40B(2S4P_80)</t>
  </si>
  <si>
    <t>2835_S_B22Q_X2_40B(2S_80)</t>
  </si>
  <si>
    <t>5050_S_SAMPLE_X8_50B(2S4P_80)</t>
  </si>
  <si>
    <t>2835_S_S-35EBMUD-A_X2_40B(2S_90)</t>
  </si>
  <si>
    <t>2835_S_S-35EBMUD-A_X2_30B(2S_90)</t>
  </si>
  <si>
    <t>2835_S_TZ2240_X1_30B(1S_80)</t>
  </si>
  <si>
    <t>3030_R_S-35EBMUD-A_X2_40B(2P_80)</t>
  </si>
  <si>
    <t>5050_R_S-35EBMUD-A_X8_30A(2S4P_90)</t>
  </si>
  <si>
    <t>3030_R_BXCD2240_X2_40A(2P_80)</t>
  </si>
  <si>
    <t>3030_R_BXCD2240_X2_40B(2P_80)</t>
  </si>
  <si>
    <t>3030_R_S34BBMUD_X2_40B(2S_80)</t>
  </si>
  <si>
    <t>5050_S_BXCD2240_X8_40B(2S4P_80)</t>
  </si>
  <si>
    <t>3030_R_S34BBMUD_X3_40A(3S_80)</t>
  </si>
  <si>
    <t>5050_S_S-35EBMUD-A_X10_27C(2S5P_80)</t>
  </si>
  <si>
    <t>27C</t>
  </si>
  <si>
    <t>%</t>
  </si>
  <si>
    <t>5050_R_S-34BBMUD_X10_40B(2S5P_70)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</si>
</sst>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0" fillId="0" borderId="1" xfId="0" applyBorder="1" applyAlignment="1" applyProtection="1">
      <alignment horizontal="center" vertical="center"/>
      <protection hidden="1"/>
    </xf>
    <xf numFmtId="0" fontId="0" fillId="2" borderId="1" xfId="0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10" fontId="0" fillId="2" borderId="1" xfId="0" applyNumberFormat="1" applyFill="1" applyBorder="1" applyAlignment="1" applyProtection="1">
      <alignment horizontal="center" vertical="center"/>
      <protection hidden="1"/>
    </xf>
    <xf numFmtId="10" fontId="0" fillId="2" borderId="1" xfId="0" applyNumberForma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vertical="center" wrapText="1"/>
      <protection locked="0" hidden="1"/>
    </xf>
    <xf numFmtId="0" fontId="0" fillId="0" borderId="2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10" fontId="3" fillId="2" borderId="1" xfId="0" applyNumberFormat="1" applyFont="1" applyFill="1" applyBorder="1" applyAlignment="1" applyProtection="1">
      <alignment horizontal="center" vertical="center"/>
      <protection locked="0" hidden="1"/>
    </xf>
    <xf numFmtId="0" fontId="3" fillId="0" borderId="1" xfId="0" applyFont="1" applyBorder="1" applyAlignment="1" applyProtection="1">
      <alignment horizontal="center" vertical="center"/>
      <protection hidden="1"/>
    </xf>
    <xf numFmtId="10" fontId="0" fillId="0" borderId="1" xfId="0" applyNumberFormat="1" applyBorder="1" applyAlignment="1" applyProtection="1">
      <alignment horizontal="center" vertical="center"/>
      <protection hidden="1"/>
    </xf>
    <xf numFmtId="10" fontId="0" fillId="0" borderId="1" xfId="0" applyNumberFormat="1" applyBorder="1" applyAlignment="1" applyProtection="1">
      <alignment horizontal="center" vertical="center"/>
      <protection locked="0" hidden="1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hidden="1"/>
    </xf>
    <xf numFmtId="10" fontId="3" fillId="4" borderId="1" xfId="0" applyNumberFormat="1" applyFont="1" applyFill="1" applyBorder="1" applyAlignment="1" applyProtection="1">
      <alignment horizontal="center" vertical="center"/>
      <protection hidden="1"/>
    </xf>
    <xf numFmtId="10" fontId="3" fillId="4" borderId="1" xfId="0" applyNumberFormat="1" applyFont="1" applyFill="1" applyBorder="1" applyAlignment="1" applyProtection="1">
      <alignment horizontal="center" vertical="center"/>
      <protection locked="0" hidden="1"/>
    </xf>
    <xf numFmtId="10" fontId="3" fillId="4" borderId="1" xfId="0" applyNumberFormat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vertical="center" wrapText="1"/>
      <protection locked="0" hidden="1"/>
    </xf>
    <xf numFmtId="0" fontId="0" fillId="4" borderId="1" xfId="0" applyFill="1" applyBorder="1" applyAlignment="1" applyProtection="1">
      <alignment horizontal="center" vertical="center"/>
      <protection hidden="1"/>
    </xf>
    <xf numFmtId="10" fontId="0" fillId="4" borderId="1" xfId="0" applyNumberFormat="1" applyFill="1" applyBorder="1" applyAlignment="1" applyProtection="1">
      <alignment horizontal="center" vertical="center"/>
      <protection hidden="1"/>
    </xf>
    <xf numFmtId="10" fontId="0" fillId="4" borderId="1" xfId="0" applyNumberFormat="1" applyFill="1" applyBorder="1" applyAlignment="1" applyProtection="1">
      <alignment horizontal="center" vertical="center"/>
      <protection locked="0" hidden="1"/>
    </xf>
    <xf numFmtId="10" fontId="0" fillId="4" borderId="1" xfId="0" applyNumberForma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hidden="1"/>
    </xf>
    <xf numFmtId="10" fontId="0" fillId="2" borderId="1" xfId="0" applyNumberFormat="1" applyFill="1" applyBorder="1" applyAlignment="1" applyProtection="1">
      <alignment horizontal="center" vertical="center"/>
      <protection locked="0"/>
    </xf>
    <xf numFmtId="10" fontId="0" fillId="4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0" fontId="0" fillId="5" borderId="1" xfId="0" applyNumberFormat="1" applyFill="1" applyBorder="1" applyAlignment="1" applyProtection="1">
      <alignment horizontal="center" vertical="center"/>
      <protection hidden="1"/>
    </xf>
    <xf numFmtId="10" fontId="0" fillId="5" borderId="1" xfId="0" applyNumberFormat="1" applyFill="1" applyBorder="1" applyAlignment="1" applyProtection="1">
      <alignment horizontal="center" vertical="center"/>
      <protection locked="0" hidden="1"/>
    </xf>
    <xf numFmtId="10" fontId="0" fillId="5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vertical="center" wrapText="1"/>
      <protection locked="0" hidden="1"/>
    </xf>
    <xf numFmtId="10" fontId="0" fillId="3" borderId="1" xfId="0" applyNumberFormat="1" applyFill="1" applyBorder="1" applyAlignment="1" applyProtection="1">
      <alignment horizontal="center" vertical="center"/>
      <protection hidden="1"/>
    </xf>
    <xf numFmtId="10" fontId="0" fillId="3" borderId="1" xfId="0" applyNumberFormat="1" applyFill="1" applyBorder="1" applyAlignment="1" applyProtection="1">
      <alignment horizontal="center" vertical="center"/>
      <protection locked="0" hidden="1"/>
    </xf>
    <xf numFmtId="0" fontId="0" fillId="3" borderId="1" xfId="0" applyFill="1" applyBorder="1" applyAlignment="1" applyProtection="1">
      <alignment vertical="center" wrapText="1"/>
      <protection locked="0" hidden="1"/>
    </xf>
    <xf numFmtId="10" fontId="3" fillId="3" borderId="1" xfId="0" applyNumberFormat="1" applyFont="1" applyFill="1" applyBorder="1" applyAlignment="1" applyProtection="1">
      <alignment horizontal="center" vertical="center"/>
      <protection locked="0" hidden="1"/>
    </xf>
    <xf numFmtId="10" fontId="0" fillId="3" borderId="1" xfId="0" applyNumberForma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7" xfId="0" applyBorder="1" applyAlignment="1" applyProtection="1">
      <alignment horizontal="center" vertical="center" wrapText="1"/>
      <protection locked="0" hidden="1"/>
    </xf>
    <xf numFmtId="0" fontId="2" fillId="0" borderId="1" xfId="0" applyFont="1" applyBorder="1" applyAlignment="1" applyProtection="1">
      <alignment vertical="center" wrapText="1"/>
      <protection locked="0" hidden="1"/>
    </xf>
    <xf numFmtId="0" fontId="2" fillId="0" borderId="1" xfId="0" applyFont="1" applyBorder="1" applyAlignment="1" applyProtection="1">
      <alignment horizontal="center" vertical="center" wrapText="1"/>
      <protection locked="0" hidden="1"/>
    </xf>
    <xf numFmtId="0" fontId="2" fillId="0" borderId="8" xfId="0" applyFont="1" applyBorder="1" applyAlignment="1" applyProtection="1">
      <alignment horizontal="center" vertical="center" wrapText="1"/>
      <protection locked="0" hidden="1"/>
    </xf>
    <xf numFmtId="10" fontId="0" fillId="0" borderId="1" xfId="0" applyNumberFormat="1" applyBorder="1" applyAlignment="1" applyProtection="1">
      <alignment horizontal="center" vertical="center" wrapText="1"/>
      <protection locked="0" hidden="1"/>
    </xf>
    <xf numFmtId="10" fontId="0" fillId="0" borderId="8" xfId="0" applyNumberFormat="1" applyBorder="1" applyAlignment="1" applyProtection="1">
      <alignment horizontal="center" vertical="center" wrapText="1"/>
      <protection locked="0" hidden="1"/>
    </xf>
    <xf numFmtId="0" fontId="0" fillId="0" borderId="8" xfId="0" applyBorder="1" applyAlignment="1" applyProtection="1">
      <alignment horizontal="center" vertical="center" wrapText="1"/>
      <protection locked="0" hidden="1"/>
    </xf>
    <xf numFmtId="0" fontId="0" fillId="0" borderId="1" xfId="0" applyBorder="1" applyAlignment="1" applyProtection="1">
      <alignment horizontal="center" vertical="center" wrapText="1"/>
      <protection locked="0" hidden="1"/>
    </xf>
    <xf numFmtId="0" fontId="0" fillId="0" borderId="7" xfId="0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10" fontId="0" fillId="0" borderId="10" xfId="0" applyNumberFormat="1" applyBorder="1" applyAlignment="1" applyProtection="1">
      <alignment horizontal="center" vertical="center" wrapText="1"/>
      <protection hidden="1"/>
    </xf>
    <xf numFmtId="0" fontId="0" fillId="0" borderId="11" xfId="0" applyBorder="1" applyAlignment="1" applyProtection="1">
      <alignment horizontal="center" vertical="center" wrapText="1"/>
      <protection hidden="1"/>
    </xf>
    <xf numFmtId="0" fontId="0" fillId="0" borderId="10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2" borderId="0" xfId="0" applyFill="1" applyProtection="1">
      <protection hidden="1"/>
    </xf>
    <xf numFmtId="0" fontId="0" fillId="3" borderId="8" xfId="0" applyFill="1" applyBorder="1" applyAlignment="1" applyProtection="1">
      <alignment horizontal="center" vertical="center"/>
      <protection hidden="1"/>
    </xf>
    <xf numFmtId="10" fontId="0" fillId="3" borderId="8" xfId="0" applyNumberFormat="1" applyFill="1" applyBorder="1" applyAlignment="1" applyProtection="1">
      <alignment horizontal="center" vertical="center"/>
      <protection hidden="1"/>
    </xf>
    <xf numFmtId="10" fontId="0" fillId="3" borderId="8" xfId="0" applyNumberFormat="1" applyFill="1" applyBorder="1" applyAlignment="1" applyProtection="1">
      <alignment horizontal="center" vertical="center"/>
      <protection locked="0" hidden="1"/>
    </xf>
    <xf numFmtId="0" fontId="0" fillId="3" borderId="8" xfId="0" applyFill="1" applyBorder="1" applyAlignment="1" applyProtection="1">
      <alignment vertical="center" wrapText="1"/>
      <protection locked="0" hidden="1"/>
    </xf>
    <xf numFmtId="10" fontId="0" fillId="0" borderId="0" xfId="0" applyNumberFormat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10" fontId="0" fillId="0" borderId="6" xfId="0" applyNumberFormat="1" applyBorder="1" applyAlignment="1" applyProtection="1">
      <alignment horizontal="center" vertical="center"/>
      <protection locked="0" hidden="1"/>
    </xf>
    <xf numFmtId="10" fontId="0" fillId="0" borderId="9" xfId="0" applyNumberFormat="1" applyBorder="1" applyAlignment="1" applyProtection="1">
      <alignment horizontal="center" vertical="center"/>
      <protection locked="0" hidden="1"/>
    </xf>
    <xf numFmtId="10" fontId="0" fillId="0" borderId="7" xfId="0" applyNumberFormat="1" applyBorder="1" applyAlignment="1" applyProtection="1">
      <alignment horizontal="center" vertical="center"/>
      <protection locked="0" hidden="1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</cellXfs>
  <cellStyles count="2">
    <cellStyle name="Обычный" xfId="0" builtinId="0"/>
    <cellStyle name="Процентный" xfId="1" builtinId="5"/>
  </cellStyles>
  <dxfs count="15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S238"/>
  <sheetViews>
    <sheetView topLeftCell="A211" workbookViewId="0">
      <selection activeCell="K233" sqref="K233"/>
    </sheetView>
  </sheetViews>
  <sheetFormatPr defaultRowHeight="15" x14ac:dyDescent="0.25"/>
  <cols>
    <col min="1" max="1" width="38.140625" bestFit="1" customWidth="1"/>
    <col min="2" max="2" width="10.5703125" customWidth="1"/>
    <col min="3" max="3" width="8.28515625" bestFit="1" customWidth="1"/>
    <col min="4" max="4" width="13.28515625" bestFit="1" customWidth="1"/>
    <col min="5" max="5" width="8.5703125" bestFit="1" customWidth="1"/>
    <col min="6" max="6" width="8.140625" bestFit="1" customWidth="1"/>
    <col min="7" max="7" width="4.42578125" bestFit="1" customWidth="1"/>
    <col min="8" max="8" width="3.85546875" bestFit="1" customWidth="1"/>
    <col min="9" max="9" width="10.28515625" customWidth="1"/>
    <col min="10" max="10" width="13.85546875" customWidth="1"/>
    <col min="14" max="14" width="12.28515625" customWidth="1"/>
    <col min="15" max="15" width="10" customWidth="1"/>
    <col min="16" max="16" width="13.42578125" customWidth="1"/>
  </cols>
  <sheetData>
    <row r="1" spans="1:19" ht="75" x14ac:dyDescent="0.25">
      <c r="A1" s="39" t="s">
        <v>272</v>
      </c>
      <c r="B1" s="39" t="s">
        <v>273</v>
      </c>
      <c r="C1" s="40" t="s">
        <v>274</v>
      </c>
      <c r="D1" s="40" t="s">
        <v>275</v>
      </c>
      <c r="E1" s="41" t="s">
        <v>276</v>
      </c>
      <c r="F1" s="42" t="s">
        <v>277</v>
      </c>
      <c r="G1" s="41" t="s">
        <v>278</v>
      </c>
      <c r="H1" s="42" t="s">
        <v>279</v>
      </c>
      <c r="I1" s="43" t="s">
        <v>280</v>
      </c>
      <c r="J1" s="43" t="s">
        <v>281</v>
      </c>
      <c r="K1" s="65" t="s">
        <v>274</v>
      </c>
      <c r="L1" s="66"/>
      <c r="M1" s="67"/>
      <c r="N1" s="44" t="s">
        <v>282</v>
      </c>
      <c r="O1" s="45" t="s">
        <v>283</v>
      </c>
      <c r="P1" s="45" t="s">
        <v>284</v>
      </c>
      <c r="Q1" s="46" t="s">
        <v>285</v>
      </c>
      <c r="R1" s="46" t="s">
        <v>286</v>
      </c>
      <c r="S1" s="46" t="s">
        <v>287</v>
      </c>
    </row>
    <row r="2" spans="1:19" x14ac:dyDescent="0.25">
      <c r="A2" s="47"/>
      <c r="B2" s="47"/>
      <c r="C2" s="48"/>
      <c r="D2" s="48"/>
      <c r="E2" s="48"/>
      <c r="F2" s="49"/>
      <c r="G2" s="48"/>
      <c r="H2" s="49"/>
      <c r="I2" s="50"/>
      <c r="J2" s="50"/>
      <c r="K2" s="50" t="s">
        <v>288</v>
      </c>
      <c r="L2" s="50" t="s">
        <v>289</v>
      </c>
      <c r="M2" s="50" t="s">
        <v>290</v>
      </c>
      <c r="N2" s="51"/>
      <c r="O2" s="52"/>
      <c r="P2" s="53"/>
      <c r="Q2" s="50"/>
      <c r="R2" s="50"/>
      <c r="S2" s="50"/>
    </row>
    <row r="3" spans="1:19" x14ac:dyDescent="0.25">
      <c r="A3" s="1" t="s">
        <v>0</v>
      </c>
      <c r="B3" s="1" t="s">
        <v>1</v>
      </c>
      <c r="C3" s="2">
        <v>2835</v>
      </c>
      <c r="D3" s="2" t="s">
        <v>2</v>
      </c>
      <c r="E3" s="2" t="s">
        <v>3</v>
      </c>
      <c r="F3" s="2" t="s">
        <v>4</v>
      </c>
      <c r="G3" s="2" t="s">
        <v>5</v>
      </c>
      <c r="H3" s="3">
        <v>70</v>
      </c>
      <c r="I3" s="4">
        <f t="shared" ref="I3:I50" si="0">100%-J3</f>
        <v>0.55000000000000004</v>
      </c>
      <c r="J3" s="5">
        <v>0.45</v>
      </c>
      <c r="K3" s="5">
        <f t="shared" ref="K3:K14" si="1">100%-L3-M3</f>
        <v>0.9153</v>
      </c>
      <c r="L3" s="5">
        <v>0.02</v>
      </c>
      <c r="M3" s="5">
        <v>6.4699999999999994E-2</v>
      </c>
      <c r="N3" s="6" t="s">
        <v>6</v>
      </c>
      <c r="O3" s="61">
        <v>110</v>
      </c>
      <c r="P3" s="63">
        <v>11</v>
      </c>
      <c r="Q3" s="8">
        <f>($O$3+$P$3)/I3*J3*K3</f>
        <v>90.614699999999985</v>
      </c>
      <c r="R3" s="8">
        <f>($O$3+$P$3)/I3*J3*L3</f>
        <v>1.9799999999999998</v>
      </c>
      <c r="S3" s="8">
        <f>($O$3+$P$3)/I3*J3*M3</f>
        <v>6.4052999999999987</v>
      </c>
    </row>
    <row r="4" spans="1:19" x14ac:dyDescent="0.25">
      <c r="A4" s="1" t="s">
        <v>7</v>
      </c>
      <c r="B4" s="1" t="s">
        <v>1</v>
      </c>
      <c r="C4" s="2">
        <v>2835</v>
      </c>
      <c r="D4" s="2" t="s">
        <v>2</v>
      </c>
      <c r="E4" s="2" t="s">
        <v>3</v>
      </c>
      <c r="F4" s="2" t="s">
        <v>4</v>
      </c>
      <c r="G4" s="2" t="s">
        <v>8</v>
      </c>
      <c r="H4" s="3">
        <v>70</v>
      </c>
      <c r="I4" s="4">
        <f t="shared" si="0"/>
        <v>0.59000000000000008</v>
      </c>
      <c r="J4" s="5">
        <v>0.41</v>
      </c>
      <c r="K4" s="5">
        <f t="shared" si="1"/>
        <v>0.92449999999999999</v>
      </c>
      <c r="L4" s="5">
        <v>0.02</v>
      </c>
      <c r="M4" s="5">
        <v>5.5500000000000001E-2</v>
      </c>
      <c r="N4" s="6" t="s">
        <v>6</v>
      </c>
      <c r="O4" s="62"/>
      <c r="P4" s="64"/>
      <c r="Q4" s="8">
        <f>($O$3+$P$3)/I4*J4*K4</f>
        <v>77.736347457627105</v>
      </c>
      <c r="R4" s="8">
        <f t="shared" ref="R4:R67" si="2">($O$3+$P$3)/I4*J4*L4</f>
        <v>1.6816949152542371</v>
      </c>
      <c r="S4" s="8">
        <f t="shared" ref="S4:S67" si="3">($O$3+$P$3)/I4*J4*M4</f>
        <v>4.6667033898305075</v>
      </c>
    </row>
    <row r="5" spans="1:19" x14ac:dyDescent="0.25">
      <c r="A5" s="1" t="s">
        <v>9</v>
      </c>
      <c r="B5" s="1" t="s">
        <v>1</v>
      </c>
      <c r="C5" s="2">
        <v>2835</v>
      </c>
      <c r="D5" s="2" t="s">
        <v>2</v>
      </c>
      <c r="E5" s="2" t="s">
        <v>3</v>
      </c>
      <c r="F5" s="2" t="s">
        <v>4</v>
      </c>
      <c r="G5" s="2" t="s">
        <v>10</v>
      </c>
      <c r="H5" s="3">
        <v>70</v>
      </c>
      <c r="I5" s="4">
        <f t="shared" si="0"/>
        <v>0.65</v>
      </c>
      <c r="J5" s="9">
        <v>0.35</v>
      </c>
      <c r="K5" s="5">
        <f t="shared" si="1"/>
        <v>0.66899999999999993</v>
      </c>
      <c r="L5" s="9">
        <v>0.3</v>
      </c>
      <c r="M5" s="9">
        <v>3.1E-2</v>
      </c>
      <c r="N5" s="6" t="s">
        <v>6</v>
      </c>
      <c r="O5" s="62"/>
      <c r="P5" s="64"/>
      <c r="Q5" s="8">
        <f t="shared" ref="Q5:Q68" si="4">($O$3+$P$3)/I5*J5*K5</f>
        <v>43.587923076923069</v>
      </c>
      <c r="R5" s="8">
        <f t="shared" si="2"/>
        <v>19.546153846153842</v>
      </c>
      <c r="S5" s="8">
        <f t="shared" si="3"/>
        <v>2.0197692307692305</v>
      </c>
    </row>
    <row r="6" spans="1:19" x14ac:dyDescent="0.25">
      <c r="A6" s="10" t="s">
        <v>11</v>
      </c>
      <c r="B6" s="1" t="s">
        <v>1</v>
      </c>
      <c r="C6" s="2">
        <v>2835</v>
      </c>
      <c r="D6" s="2" t="s">
        <v>2</v>
      </c>
      <c r="E6" s="2" t="s">
        <v>3</v>
      </c>
      <c r="F6" s="2" t="s">
        <v>4</v>
      </c>
      <c r="G6" s="2" t="s">
        <v>12</v>
      </c>
      <c r="H6" s="3">
        <v>70</v>
      </c>
      <c r="I6" s="4">
        <f t="shared" si="0"/>
        <v>0.76500000000000001</v>
      </c>
      <c r="J6" s="9">
        <v>0.23499999999999999</v>
      </c>
      <c r="K6" s="5">
        <f t="shared" si="1"/>
        <v>0.94299999999999995</v>
      </c>
      <c r="L6" s="9">
        <v>0.02</v>
      </c>
      <c r="M6" s="9">
        <v>3.6999999999999998E-2</v>
      </c>
      <c r="N6" s="6" t="s">
        <v>6</v>
      </c>
      <c r="O6" s="62"/>
      <c r="P6" s="64"/>
      <c r="Q6" s="8">
        <f t="shared" si="4"/>
        <v>35.05124836601307</v>
      </c>
      <c r="R6" s="8">
        <f t="shared" si="2"/>
        <v>0.74339869281045756</v>
      </c>
      <c r="S6" s="8">
        <f t="shared" si="3"/>
        <v>1.3752875816993464</v>
      </c>
    </row>
    <row r="7" spans="1:19" x14ac:dyDescent="0.25">
      <c r="A7" s="1" t="s">
        <v>13</v>
      </c>
      <c r="B7" s="1" t="s">
        <v>14</v>
      </c>
      <c r="C7" s="1">
        <v>3030</v>
      </c>
      <c r="D7" s="1" t="s">
        <v>15</v>
      </c>
      <c r="E7" s="1" t="s">
        <v>3</v>
      </c>
      <c r="F7" s="1" t="s">
        <v>4</v>
      </c>
      <c r="G7" s="1" t="s">
        <v>5</v>
      </c>
      <c r="H7" s="3">
        <v>70</v>
      </c>
      <c r="I7" s="11">
        <f t="shared" si="0"/>
        <v>0.63</v>
      </c>
      <c r="J7" s="12">
        <v>0.37</v>
      </c>
      <c r="K7" s="12">
        <f t="shared" si="1"/>
        <v>0.89304347826086961</v>
      </c>
      <c r="L7" s="13">
        <v>0.02</v>
      </c>
      <c r="M7" s="13">
        <v>8.6956521739130432E-2</v>
      </c>
      <c r="N7" s="6" t="s">
        <v>6</v>
      </c>
      <c r="O7" s="62"/>
      <c r="P7" s="64"/>
      <c r="Q7" s="8">
        <f t="shared" si="4"/>
        <v>63.462788129744652</v>
      </c>
      <c r="R7" s="8">
        <f t="shared" si="2"/>
        <v>1.4212698412698412</v>
      </c>
      <c r="S7" s="8">
        <f t="shared" si="3"/>
        <v>6.1794340924775701</v>
      </c>
    </row>
    <row r="8" spans="1:19" x14ac:dyDescent="0.25">
      <c r="A8" s="1" t="s">
        <v>16</v>
      </c>
      <c r="B8" s="1" t="s">
        <v>14</v>
      </c>
      <c r="C8" s="14">
        <v>3030</v>
      </c>
      <c r="D8" s="14" t="s">
        <v>15</v>
      </c>
      <c r="E8" s="14" t="s">
        <v>3</v>
      </c>
      <c r="F8" s="14" t="s">
        <v>4</v>
      </c>
      <c r="G8" s="14" t="s">
        <v>8</v>
      </c>
      <c r="H8" s="3">
        <v>70</v>
      </c>
      <c r="I8" s="15">
        <f t="shared" si="0"/>
        <v>0.62</v>
      </c>
      <c r="J8" s="16">
        <v>0.38</v>
      </c>
      <c r="K8" s="16">
        <f t="shared" si="1"/>
        <v>0.91500000000000004</v>
      </c>
      <c r="L8" s="17">
        <v>0.02</v>
      </c>
      <c r="M8" s="17">
        <v>6.5000000000000002E-2</v>
      </c>
      <c r="N8" s="18" t="s">
        <v>6</v>
      </c>
      <c r="O8" s="62"/>
      <c r="P8" s="64"/>
      <c r="Q8" s="8">
        <f>($O$3+$P$3)/I8*J8*K8</f>
        <v>67.857580645161292</v>
      </c>
      <c r="R8" s="8">
        <f t="shared" si="2"/>
        <v>1.4832258064516128</v>
      </c>
      <c r="S8" s="8">
        <f t="shared" si="3"/>
        <v>4.8204838709677418</v>
      </c>
    </row>
    <row r="9" spans="1:19" x14ac:dyDescent="0.25">
      <c r="A9" s="1" t="s">
        <v>17</v>
      </c>
      <c r="B9" s="1" t="s">
        <v>14</v>
      </c>
      <c r="C9" s="19">
        <v>3030</v>
      </c>
      <c r="D9" s="19" t="s">
        <v>15</v>
      </c>
      <c r="E9" s="19" t="s">
        <v>3</v>
      </c>
      <c r="F9" s="19" t="s">
        <v>4</v>
      </c>
      <c r="G9" s="19" t="s">
        <v>10</v>
      </c>
      <c r="H9" s="3">
        <v>70</v>
      </c>
      <c r="I9" s="20">
        <f t="shared" si="0"/>
        <v>0.73</v>
      </c>
      <c r="J9" s="16">
        <v>0.27</v>
      </c>
      <c r="K9" s="21">
        <f t="shared" si="1"/>
        <v>0.92699999999999994</v>
      </c>
      <c r="L9" s="22">
        <v>0.02</v>
      </c>
      <c r="M9" s="22">
        <v>5.2999999999999999E-2</v>
      </c>
      <c r="N9" s="18" t="s">
        <v>6</v>
      </c>
      <c r="O9" s="62"/>
      <c r="P9" s="64"/>
      <c r="Q9" s="8">
        <f t="shared" si="4"/>
        <v>41.486424657534251</v>
      </c>
      <c r="R9" s="8">
        <f t="shared" si="2"/>
        <v>0.89506849315068504</v>
      </c>
      <c r="S9" s="8">
        <f t="shared" si="3"/>
        <v>2.3719315068493154</v>
      </c>
    </row>
    <row r="10" spans="1:19" x14ac:dyDescent="0.25">
      <c r="A10" s="1" t="s">
        <v>18</v>
      </c>
      <c r="B10" s="1" t="s">
        <v>14</v>
      </c>
      <c r="C10" s="2">
        <v>3030</v>
      </c>
      <c r="D10" s="2" t="s">
        <v>15</v>
      </c>
      <c r="E10" s="2" t="s">
        <v>3</v>
      </c>
      <c r="F10" s="2" t="s">
        <v>4</v>
      </c>
      <c r="G10" s="23" t="s">
        <v>12</v>
      </c>
      <c r="H10" s="3">
        <v>70</v>
      </c>
      <c r="I10" s="4">
        <f t="shared" si="0"/>
        <v>0.78500000000000003</v>
      </c>
      <c r="J10" s="9">
        <v>0.215</v>
      </c>
      <c r="K10" s="5">
        <f t="shared" si="1"/>
        <v>0.93652173913043479</v>
      </c>
      <c r="L10" s="24">
        <v>0.02</v>
      </c>
      <c r="M10" s="24">
        <v>4.3478260869565216E-2</v>
      </c>
      <c r="N10" s="6" t="s">
        <v>6</v>
      </c>
      <c r="O10" s="62"/>
      <c r="P10" s="64"/>
      <c r="Q10" s="8">
        <f t="shared" si="4"/>
        <v>31.036449736914985</v>
      </c>
      <c r="R10" s="8">
        <f t="shared" si="2"/>
        <v>0.66280254777070069</v>
      </c>
      <c r="S10" s="8">
        <f t="shared" si="3"/>
        <v>1.4408751038493492</v>
      </c>
    </row>
    <row r="11" spans="1:19" x14ac:dyDescent="0.25">
      <c r="A11" s="1" t="s">
        <v>19</v>
      </c>
      <c r="B11" s="1" t="s">
        <v>14</v>
      </c>
      <c r="C11" s="19">
        <v>3030</v>
      </c>
      <c r="D11" s="19" t="s">
        <v>15</v>
      </c>
      <c r="E11" s="19" t="s">
        <v>20</v>
      </c>
      <c r="F11" s="19" t="s">
        <v>21</v>
      </c>
      <c r="G11" s="19" t="s">
        <v>5</v>
      </c>
      <c r="H11" s="3">
        <v>70</v>
      </c>
      <c r="I11" s="20">
        <f t="shared" si="0"/>
        <v>0.62</v>
      </c>
      <c r="J11" s="21">
        <v>0.38</v>
      </c>
      <c r="K11" s="21">
        <f t="shared" si="1"/>
        <v>0.89</v>
      </c>
      <c r="L11" s="25">
        <v>1.9999999999999997E-2</v>
      </c>
      <c r="M11" s="25">
        <v>0.09</v>
      </c>
      <c r="N11" s="18" t="s">
        <v>6</v>
      </c>
      <c r="O11" s="62"/>
      <c r="P11" s="64"/>
      <c r="Q11" s="8">
        <f t="shared" si="4"/>
        <v>66.003548387096771</v>
      </c>
      <c r="R11" s="8">
        <f t="shared" si="2"/>
        <v>1.4832258064516126</v>
      </c>
      <c r="S11" s="8">
        <f t="shared" si="3"/>
        <v>6.6745161290322574</v>
      </c>
    </row>
    <row r="12" spans="1:19" x14ac:dyDescent="0.25">
      <c r="A12" s="1" t="s">
        <v>22</v>
      </c>
      <c r="B12" s="1" t="s">
        <v>14</v>
      </c>
      <c r="C12" s="2">
        <v>3030</v>
      </c>
      <c r="D12" s="2" t="s">
        <v>15</v>
      </c>
      <c r="E12" s="2" t="s">
        <v>20</v>
      </c>
      <c r="F12" s="2" t="s">
        <v>21</v>
      </c>
      <c r="G12" s="2" t="s">
        <v>8</v>
      </c>
      <c r="H12" s="3">
        <v>70</v>
      </c>
      <c r="I12" s="4">
        <f t="shared" si="0"/>
        <v>0.65500000000000003</v>
      </c>
      <c r="J12" s="5">
        <v>0.34499999999999997</v>
      </c>
      <c r="K12" s="5">
        <f t="shared" si="1"/>
        <v>0.93500000000000005</v>
      </c>
      <c r="L12" s="5">
        <v>0</v>
      </c>
      <c r="M12" s="5">
        <v>6.5000000000000002E-2</v>
      </c>
      <c r="N12" s="6" t="s">
        <v>6</v>
      </c>
      <c r="O12" s="62"/>
      <c r="P12" s="64"/>
      <c r="Q12" s="8">
        <f t="shared" si="4"/>
        <v>59.590190839694657</v>
      </c>
      <c r="R12" s="8">
        <f t="shared" si="2"/>
        <v>0</v>
      </c>
      <c r="S12" s="8">
        <f t="shared" si="3"/>
        <v>4.1426335877862597</v>
      </c>
    </row>
    <row r="13" spans="1:19" x14ac:dyDescent="0.25">
      <c r="A13" s="1" t="s">
        <v>23</v>
      </c>
      <c r="B13" s="1" t="s">
        <v>14</v>
      </c>
      <c r="C13" s="19">
        <v>3030</v>
      </c>
      <c r="D13" s="19" t="s">
        <v>15</v>
      </c>
      <c r="E13" s="19" t="s">
        <v>20</v>
      </c>
      <c r="F13" s="19" t="s">
        <v>21</v>
      </c>
      <c r="G13" s="19" t="s">
        <v>10</v>
      </c>
      <c r="H13" s="3">
        <v>70</v>
      </c>
      <c r="I13" s="20">
        <f t="shared" si="0"/>
        <v>0.71</v>
      </c>
      <c r="J13" s="16">
        <v>0.28999999999999998</v>
      </c>
      <c r="K13" s="21">
        <f t="shared" si="1"/>
        <v>0.56199999999999994</v>
      </c>
      <c r="L13" s="22">
        <v>0.4</v>
      </c>
      <c r="M13" s="22">
        <v>3.7999999999999999E-2</v>
      </c>
      <c r="N13" s="18" t="s">
        <v>24</v>
      </c>
      <c r="O13" s="62"/>
      <c r="P13" s="64"/>
      <c r="Q13" s="8">
        <f t="shared" si="4"/>
        <v>27.775464788732393</v>
      </c>
      <c r="R13" s="8">
        <f t="shared" si="2"/>
        <v>19.769014084507045</v>
      </c>
      <c r="S13" s="8">
        <f t="shared" si="3"/>
        <v>1.878056338028169</v>
      </c>
    </row>
    <row r="14" spans="1:19" x14ac:dyDescent="0.25">
      <c r="A14" s="1" t="s">
        <v>25</v>
      </c>
      <c r="B14" s="1" t="s">
        <v>14</v>
      </c>
      <c r="C14" s="19">
        <v>3030</v>
      </c>
      <c r="D14" s="19" t="s">
        <v>15</v>
      </c>
      <c r="E14" s="19" t="s">
        <v>20</v>
      </c>
      <c r="F14" s="19" t="s">
        <v>21</v>
      </c>
      <c r="G14" s="19" t="s">
        <v>12</v>
      </c>
      <c r="H14" s="3">
        <v>70</v>
      </c>
      <c r="I14" s="20">
        <f t="shared" si="0"/>
        <v>0.72499999999999998</v>
      </c>
      <c r="J14" s="21">
        <v>0.27500000000000002</v>
      </c>
      <c r="K14" s="21">
        <f t="shared" si="1"/>
        <v>0.68049999999999999</v>
      </c>
      <c r="L14" s="21">
        <v>0.3</v>
      </c>
      <c r="M14" s="21">
        <v>1.95E-2</v>
      </c>
      <c r="N14" s="18" t="s">
        <v>6</v>
      </c>
      <c r="O14" s="62"/>
      <c r="P14" s="64"/>
      <c r="Q14" s="8">
        <f t="shared" si="4"/>
        <v>31.232603448275864</v>
      </c>
      <c r="R14" s="8">
        <f t="shared" si="2"/>
        <v>13.76896551724138</v>
      </c>
      <c r="S14" s="8">
        <f t="shared" si="3"/>
        <v>0.89498275862068977</v>
      </c>
    </row>
    <row r="15" spans="1:19" x14ac:dyDescent="0.25">
      <c r="A15" s="26" t="s">
        <v>26</v>
      </c>
      <c r="B15" s="1" t="s">
        <v>14</v>
      </c>
      <c r="C15" s="1">
        <v>5050</v>
      </c>
      <c r="D15" s="1" t="s">
        <v>15</v>
      </c>
      <c r="E15" s="1" t="s">
        <v>27</v>
      </c>
      <c r="F15" s="1" t="s">
        <v>28</v>
      </c>
      <c r="G15" s="1" t="s">
        <v>5</v>
      </c>
      <c r="H15" s="3">
        <v>70</v>
      </c>
      <c r="I15" s="11">
        <f t="shared" si="0"/>
        <v>0.65</v>
      </c>
      <c r="J15" s="12">
        <v>0.35</v>
      </c>
      <c r="K15" s="12">
        <f>100%-L15-M15</f>
        <v>0.89500000000000002</v>
      </c>
      <c r="L15" s="13">
        <v>0.02</v>
      </c>
      <c r="M15" s="13">
        <v>8.5000000000000006E-2</v>
      </c>
      <c r="N15" s="6" t="s">
        <v>6</v>
      </c>
      <c r="O15" s="62"/>
      <c r="P15" s="64"/>
      <c r="Q15" s="8">
        <f t="shared" si="4"/>
        <v>58.312692307692302</v>
      </c>
      <c r="R15" s="8">
        <f t="shared" si="2"/>
        <v>1.303076923076923</v>
      </c>
      <c r="S15" s="8">
        <f t="shared" si="3"/>
        <v>5.5380769230769227</v>
      </c>
    </row>
    <row r="16" spans="1:19" x14ac:dyDescent="0.25">
      <c r="A16" s="26" t="s">
        <v>29</v>
      </c>
      <c r="B16" s="1" t="s">
        <v>14</v>
      </c>
      <c r="C16" s="1">
        <v>5050</v>
      </c>
      <c r="D16" s="1" t="s">
        <v>15</v>
      </c>
      <c r="E16" s="1" t="s">
        <v>27</v>
      </c>
      <c r="F16" s="1" t="s">
        <v>28</v>
      </c>
      <c r="G16" s="1" t="s">
        <v>8</v>
      </c>
      <c r="H16" s="3">
        <v>70</v>
      </c>
      <c r="I16" s="11">
        <f t="shared" si="0"/>
        <v>0.68599999999999994</v>
      </c>
      <c r="J16" s="12">
        <v>0.314</v>
      </c>
      <c r="K16" s="12">
        <f t="shared" ref="K16:K24" si="5">100%-L16-M16</f>
        <v>0.90700000000000003</v>
      </c>
      <c r="L16" s="13">
        <v>0.02</v>
      </c>
      <c r="M16" s="13">
        <v>7.2999999999999995E-2</v>
      </c>
      <c r="N16" s="6" t="s">
        <v>6</v>
      </c>
      <c r="O16" s="62"/>
      <c r="P16" s="64"/>
      <c r="Q16" s="8">
        <f t="shared" si="4"/>
        <v>50.234049562682216</v>
      </c>
      <c r="R16" s="8">
        <f t="shared" si="2"/>
        <v>1.1076967930029153</v>
      </c>
      <c r="S16" s="8">
        <f t="shared" si="3"/>
        <v>4.0430932944606415</v>
      </c>
    </row>
    <row r="17" spans="1:19" x14ac:dyDescent="0.25">
      <c r="A17" s="26" t="s">
        <v>30</v>
      </c>
      <c r="B17" s="1" t="s">
        <v>14</v>
      </c>
      <c r="C17" s="2">
        <v>5050</v>
      </c>
      <c r="D17" s="2" t="s">
        <v>15</v>
      </c>
      <c r="E17" s="2" t="s">
        <v>27</v>
      </c>
      <c r="F17" s="2" t="s">
        <v>28</v>
      </c>
      <c r="G17" s="2" t="s">
        <v>10</v>
      </c>
      <c r="H17" s="3">
        <v>70</v>
      </c>
      <c r="I17" s="4">
        <f t="shared" si="0"/>
        <v>0.71</v>
      </c>
      <c r="J17" s="9">
        <v>0.28999999999999998</v>
      </c>
      <c r="K17" s="5">
        <f t="shared" si="5"/>
        <v>0.71299999999999997</v>
      </c>
      <c r="L17" s="24">
        <v>0.25</v>
      </c>
      <c r="M17" s="24">
        <v>3.6999999999999998E-2</v>
      </c>
      <c r="N17" s="6" t="s">
        <v>6</v>
      </c>
      <c r="O17" s="62"/>
      <c r="P17" s="64"/>
      <c r="Q17" s="8">
        <f t="shared" si="4"/>
        <v>35.238267605633801</v>
      </c>
      <c r="R17" s="8">
        <f t="shared" si="2"/>
        <v>12.355633802816902</v>
      </c>
      <c r="S17" s="8">
        <f t="shared" si="3"/>
        <v>1.8286338028169014</v>
      </c>
    </row>
    <row r="18" spans="1:19" x14ac:dyDescent="0.25">
      <c r="A18" s="26" t="s">
        <v>31</v>
      </c>
      <c r="B18" s="1" t="s">
        <v>14</v>
      </c>
      <c r="C18" s="27">
        <v>5050</v>
      </c>
      <c r="D18" s="27" t="s">
        <v>15</v>
      </c>
      <c r="E18" s="27" t="s">
        <v>27</v>
      </c>
      <c r="F18" s="27" t="s">
        <v>28</v>
      </c>
      <c r="G18" s="27" t="s">
        <v>12</v>
      </c>
      <c r="H18" s="3">
        <v>70</v>
      </c>
      <c r="I18" s="28">
        <f t="shared" si="0"/>
        <v>0.81600000000000006</v>
      </c>
      <c r="J18" s="29">
        <v>0.184</v>
      </c>
      <c r="K18" s="29">
        <f t="shared" si="5"/>
        <v>0.93499999999999994</v>
      </c>
      <c r="L18" s="30">
        <v>0.02</v>
      </c>
      <c r="M18" s="30">
        <v>4.4999999999999998E-2</v>
      </c>
      <c r="N18" s="31" t="s">
        <v>6</v>
      </c>
      <c r="O18" s="62"/>
      <c r="P18" s="64"/>
      <c r="Q18" s="8">
        <f t="shared" si="4"/>
        <v>25.510833333333334</v>
      </c>
      <c r="R18" s="8">
        <f t="shared" si="2"/>
        <v>0.545686274509804</v>
      </c>
      <c r="S18" s="8">
        <f t="shared" si="3"/>
        <v>1.2277941176470588</v>
      </c>
    </row>
    <row r="19" spans="1:19" x14ac:dyDescent="0.25">
      <c r="A19" s="26" t="s">
        <v>32</v>
      </c>
      <c r="B19" s="1" t="s">
        <v>14</v>
      </c>
      <c r="C19" s="3">
        <v>5050</v>
      </c>
      <c r="D19" s="3" t="s">
        <v>2</v>
      </c>
      <c r="E19" s="3" t="s">
        <v>33</v>
      </c>
      <c r="F19" s="3" t="s">
        <v>34</v>
      </c>
      <c r="G19" s="3" t="s">
        <v>5</v>
      </c>
      <c r="H19" s="3">
        <v>70</v>
      </c>
      <c r="I19" s="32">
        <f t="shared" si="0"/>
        <v>0.55000000000000004</v>
      </c>
      <c r="J19" s="33">
        <v>0.45</v>
      </c>
      <c r="K19" s="33">
        <f t="shared" si="5"/>
        <v>0.91749999999999998</v>
      </c>
      <c r="L19" s="33">
        <v>0.02</v>
      </c>
      <c r="M19" s="33">
        <v>6.25E-2</v>
      </c>
      <c r="N19" s="34" t="s">
        <v>6</v>
      </c>
      <c r="O19" s="62"/>
      <c r="P19" s="64"/>
      <c r="Q19" s="8">
        <f t="shared" si="4"/>
        <v>90.832499999999982</v>
      </c>
      <c r="R19" s="8">
        <f t="shared" si="2"/>
        <v>1.9799999999999998</v>
      </c>
      <c r="S19" s="8">
        <f t="shared" si="3"/>
        <v>6.1874999999999991</v>
      </c>
    </row>
    <row r="20" spans="1:19" x14ac:dyDescent="0.25">
      <c r="A20" s="26" t="s">
        <v>35</v>
      </c>
      <c r="B20" s="1" t="s">
        <v>14</v>
      </c>
      <c r="C20" s="3">
        <v>5050</v>
      </c>
      <c r="D20" s="3" t="s">
        <v>2</v>
      </c>
      <c r="E20" s="3" t="s">
        <v>33</v>
      </c>
      <c r="F20" s="3" t="s">
        <v>36</v>
      </c>
      <c r="G20" s="3" t="s">
        <v>5</v>
      </c>
      <c r="H20" s="3">
        <v>70</v>
      </c>
      <c r="I20" s="32">
        <f t="shared" si="0"/>
        <v>0.55000000000000004</v>
      </c>
      <c r="J20" s="33">
        <v>0.45</v>
      </c>
      <c r="K20" s="33">
        <f t="shared" si="5"/>
        <v>0.91749999999999998</v>
      </c>
      <c r="L20" s="33">
        <v>0.02</v>
      </c>
      <c r="M20" s="33">
        <v>6.25E-2</v>
      </c>
      <c r="N20" s="34" t="s">
        <v>6</v>
      </c>
      <c r="O20" s="62"/>
      <c r="P20" s="64"/>
      <c r="Q20" s="8">
        <f t="shared" si="4"/>
        <v>90.832499999999982</v>
      </c>
      <c r="R20" s="8">
        <f t="shared" si="2"/>
        <v>1.9799999999999998</v>
      </c>
      <c r="S20" s="8">
        <f t="shared" si="3"/>
        <v>6.1874999999999991</v>
      </c>
    </row>
    <row r="21" spans="1:19" x14ac:dyDescent="0.25">
      <c r="A21" s="26" t="s">
        <v>37</v>
      </c>
      <c r="B21" s="1" t="s">
        <v>14</v>
      </c>
      <c r="C21" s="2">
        <v>5050</v>
      </c>
      <c r="D21" s="2" t="s">
        <v>2</v>
      </c>
      <c r="E21" s="2" t="s">
        <v>33</v>
      </c>
      <c r="F21" s="2" t="s">
        <v>34</v>
      </c>
      <c r="G21" s="2" t="s">
        <v>8</v>
      </c>
      <c r="H21" s="3">
        <v>70</v>
      </c>
      <c r="I21" s="4">
        <f t="shared" si="0"/>
        <v>0.57000000000000006</v>
      </c>
      <c r="J21" s="5">
        <v>0.43</v>
      </c>
      <c r="K21" s="5">
        <f t="shared" si="5"/>
        <v>0.92620000000000002</v>
      </c>
      <c r="L21" s="5">
        <v>1.9999999999999997E-2</v>
      </c>
      <c r="M21" s="5">
        <v>5.3800000000000001E-2</v>
      </c>
      <c r="N21" s="6" t="s">
        <v>6</v>
      </c>
      <c r="O21" s="62"/>
      <c r="P21" s="64"/>
      <c r="Q21" s="8">
        <f t="shared" si="4"/>
        <v>84.544185964912273</v>
      </c>
      <c r="R21" s="8">
        <f t="shared" si="2"/>
        <v>1.8256140350877188</v>
      </c>
      <c r="S21" s="8">
        <f t="shared" si="3"/>
        <v>4.9109017543859643</v>
      </c>
    </row>
    <row r="22" spans="1:19" x14ac:dyDescent="0.25">
      <c r="A22" s="26" t="s">
        <v>38</v>
      </c>
      <c r="B22" s="1" t="s">
        <v>14</v>
      </c>
      <c r="C22" s="2">
        <v>5050</v>
      </c>
      <c r="D22" s="2" t="s">
        <v>2</v>
      </c>
      <c r="E22" s="2" t="s">
        <v>33</v>
      </c>
      <c r="F22" s="2" t="s">
        <v>36</v>
      </c>
      <c r="G22" s="2" t="s">
        <v>8</v>
      </c>
      <c r="H22" s="3">
        <v>70</v>
      </c>
      <c r="I22" s="4">
        <f t="shared" si="0"/>
        <v>0.57000000000000006</v>
      </c>
      <c r="J22" s="5">
        <v>0.43</v>
      </c>
      <c r="K22" s="5">
        <f t="shared" si="5"/>
        <v>0.92620000000000002</v>
      </c>
      <c r="L22" s="5">
        <v>1.9999999999999997E-2</v>
      </c>
      <c r="M22" s="5">
        <v>5.3800000000000001E-2</v>
      </c>
      <c r="N22" s="6" t="s">
        <v>6</v>
      </c>
      <c r="O22" s="62"/>
      <c r="P22" s="64"/>
      <c r="Q22" s="8">
        <f t="shared" si="4"/>
        <v>84.544185964912273</v>
      </c>
      <c r="R22" s="8">
        <f t="shared" si="2"/>
        <v>1.8256140350877188</v>
      </c>
      <c r="S22" s="8">
        <f t="shared" si="3"/>
        <v>4.9109017543859643</v>
      </c>
    </row>
    <row r="23" spans="1:19" x14ac:dyDescent="0.25">
      <c r="A23" s="26" t="s">
        <v>39</v>
      </c>
      <c r="B23" s="1" t="s">
        <v>14</v>
      </c>
      <c r="C23" s="3">
        <v>5050</v>
      </c>
      <c r="D23" s="3" t="s">
        <v>2</v>
      </c>
      <c r="E23" s="3" t="s">
        <v>33</v>
      </c>
      <c r="F23" s="3" t="s">
        <v>34</v>
      </c>
      <c r="G23" s="3" t="s">
        <v>10</v>
      </c>
      <c r="H23" s="3">
        <v>70</v>
      </c>
      <c r="I23" s="32">
        <f t="shared" si="0"/>
        <v>0.7</v>
      </c>
      <c r="J23" s="35">
        <v>0.3</v>
      </c>
      <c r="K23" s="33">
        <f t="shared" si="5"/>
        <v>0.93555555555555558</v>
      </c>
      <c r="L23" s="35">
        <v>0.02</v>
      </c>
      <c r="M23" s="35">
        <v>4.4444444444444446E-2</v>
      </c>
      <c r="N23" s="34" t="s">
        <v>6</v>
      </c>
      <c r="O23" s="62"/>
      <c r="P23" s="64"/>
      <c r="Q23" s="8">
        <f t="shared" si="4"/>
        <v>48.515238095238097</v>
      </c>
      <c r="R23" s="8">
        <f t="shared" si="2"/>
        <v>1.0371428571428571</v>
      </c>
      <c r="S23" s="8">
        <f t="shared" si="3"/>
        <v>2.3047619047619046</v>
      </c>
    </row>
    <row r="24" spans="1:19" x14ac:dyDescent="0.25">
      <c r="A24" s="26" t="s">
        <v>40</v>
      </c>
      <c r="B24" s="1" t="s">
        <v>14</v>
      </c>
      <c r="C24" s="3">
        <v>5050</v>
      </c>
      <c r="D24" s="3" t="s">
        <v>2</v>
      </c>
      <c r="E24" s="3" t="s">
        <v>33</v>
      </c>
      <c r="F24" s="3" t="s">
        <v>36</v>
      </c>
      <c r="G24" s="3" t="s">
        <v>10</v>
      </c>
      <c r="H24" s="3">
        <v>70</v>
      </c>
      <c r="I24" s="32">
        <f t="shared" si="0"/>
        <v>0.62</v>
      </c>
      <c r="J24" s="35">
        <v>0.38</v>
      </c>
      <c r="K24" s="33">
        <f t="shared" si="5"/>
        <v>0.67799999999999994</v>
      </c>
      <c r="L24" s="35">
        <v>0.3</v>
      </c>
      <c r="M24" s="35">
        <v>2.1999999999999999E-2</v>
      </c>
      <c r="N24" s="34" t="s">
        <v>6</v>
      </c>
      <c r="O24" s="62"/>
      <c r="P24" s="64"/>
      <c r="Q24" s="8">
        <f t="shared" si="4"/>
        <v>50.281354838709667</v>
      </c>
      <c r="R24" s="8">
        <f t="shared" si="2"/>
        <v>22.248387096774191</v>
      </c>
      <c r="S24" s="8">
        <f t="shared" si="3"/>
        <v>1.631548387096774</v>
      </c>
    </row>
    <row r="25" spans="1:19" x14ac:dyDescent="0.25">
      <c r="A25" s="26" t="s">
        <v>41</v>
      </c>
      <c r="B25" s="1" t="s">
        <v>14</v>
      </c>
      <c r="C25" s="2">
        <v>5050</v>
      </c>
      <c r="D25" s="2" t="s">
        <v>2</v>
      </c>
      <c r="E25" s="2" t="s">
        <v>33</v>
      </c>
      <c r="F25" s="2" t="s">
        <v>36</v>
      </c>
      <c r="G25" s="2" t="s">
        <v>12</v>
      </c>
      <c r="H25" s="3">
        <v>70</v>
      </c>
      <c r="I25" s="4">
        <f t="shared" si="0"/>
        <v>0.77</v>
      </c>
      <c r="J25" s="5">
        <v>0.23</v>
      </c>
      <c r="K25" s="5">
        <f>100%-L25-M25</f>
        <v>0.6</v>
      </c>
      <c r="L25" s="9">
        <v>0.378</v>
      </c>
      <c r="M25" s="9">
        <v>2.1999999999999999E-2</v>
      </c>
      <c r="N25" s="6" t="s">
        <v>6</v>
      </c>
      <c r="O25" s="62"/>
      <c r="P25" s="64"/>
      <c r="Q25" s="8">
        <f t="shared" si="4"/>
        <v>21.685714285714287</v>
      </c>
      <c r="R25" s="8">
        <f t="shared" si="2"/>
        <v>13.662000000000001</v>
      </c>
      <c r="S25" s="8">
        <f t="shared" si="3"/>
        <v>0.79514285714285715</v>
      </c>
    </row>
    <row r="26" spans="1:19" x14ac:dyDescent="0.25">
      <c r="A26" s="26" t="s">
        <v>42</v>
      </c>
      <c r="B26" s="1" t="s">
        <v>14</v>
      </c>
      <c r="C26" s="2">
        <v>5050</v>
      </c>
      <c r="D26" s="2" t="s">
        <v>2</v>
      </c>
      <c r="E26" s="2" t="s">
        <v>33</v>
      </c>
      <c r="F26" s="2" t="s">
        <v>34</v>
      </c>
      <c r="G26" s="2" t="s">
        <v>12</v>
      </c>
      <c r="H26" s="3">
        <v>70</v>
      </c>
      <c r="I26" s="4">
        <f t="shared" si="0"/>
        <v>0.76500000000000001</v>
      </c>
      <c r="J26" s="5">
        <v>0.23499999999999999</v>
      </c>
      <c r="K26" s="5">
        <f>100%-L26-M26</f>
        <v>0.94430000000000003</v>
      </c>
      <c r="L26" s="9">
        <v>0.02</v>
      </c>
      <c r="M26" s="9">
        <v>3.5700000000000003E-2</v>
      </c>
      <c r="N26" s="6" t="s">
        <v>6</v>
      </c>
      <c r="O26" s="62"/>
      <c r="P26" s="64"/>
      <c r="Q26" s="8">
        <f t="shared" si="4"/>
        <v>35.099569281045753</v>
      </c>
      <c r="R26" s="8">
        <f t="shared" si="2"/>
        <v>0.74339869281045756</v>
      </c>
      <c r="S26" s="8">
        <f t="shared" si="3"/>
        <v>1.3269666666666668</v>
      </c>
    </row>
    <row r="27" spans="1:19" x14ac:dyDescent="0.25">
      <c r="A27" s="26" t="s">
        <v>43</v>
      </c>
      <c r="B27" s="1" t="s">
        <v>14</v>
      </c>
      <c r="C27" s="3">
        <v>5050</v>
      </c>
      <c r="D27" s="3" t="s">
        <v>15</v>
      </c>
      <c r="E27" s="3" t="s">
        <v>33</v>
      </c>
      <c r="F27" s="3" t="s">
        <v>34</v>
      </c>
      <c r="G27" s="3" t="s">
        <v>5</v>
      </c>
      <c r="H27" s="3">
        <v>70</v>
      </c>
      <c r="I27" s="32">
        <f t="shared" si="0"/>
        <v>0.62</v>
      </c>
      <c r="J27" s="33">
        <v>0.38</v>
      </c>
      <c r="K27" s="33">
        <f t="shared" ref="K27:K58" si="6">100%-L27-M27</f>
        <v>0.58099999999999996</v>
      </c>
      <c r="L27" s="36">
        <v>0.35</v>
      </c>
      <c r="M27" s="36">
        <v>6.9000000000000006E-2</v>
      </c>
      <c r="N27" s="34" t="s">
        <v>6</v>
      </c>
      <c r="O27" s="62"/>
      <c r="P27" s="64"/>
      <c r="Q27" s="8">
        <f t="shared" si="4"/>
        <v>43.087709677419348</v>
      </c>
      <c r="R27" s="8">
        <f t="shared" si="2"/>
        <v>25.956451612903223</v>
      </c>
      <c r="S27" s="8">
        <f t="shared" si="3"/>
        <v>5.1171290322580649</v>
      </c>
    </row>
    <row r="28" spans="1:19" x14ac:dyDescent="0.25">
      <c r="A28" s="26" t="s">
        <v>45</v>
      </c>
      <c r="B28" s="1" t="s">
        <v>14</v>
      </c>
      <c r="C28" s="3">
        <v>5050</v>
      </c>
      <c r="D28" s="3" t="s">
        <v>15</v>
      </c>
      <c r="E28" s="3" t="s">
        <v>33</v>
      </c>
      <c r="F28" s="3" t="s">
        <v>36</v>
      </c>
      <c r="G28" s="3" t="s">
        <v>5</v>
      </c>
      <c r="H28" s="3">
        <v>70</v>
      </c>
      <c r="I28" s="32">
        <f t="shared" si="0"/>
        <v>0.55000000000000004</v>
      </c>
      <c r="J28" s="33">
        <v>0.45</v>
      </c>
      <c r="K28" s="33">
        <f t="shared" si="6"/>
        <v>0.91749999999999998</v>
      </c>
      <c r="L28" s="36">
        <v>0.02</v>
      </c>
      <c r="M28" s="36">
        <v>6.25E-2</v>
      </c>
      <c r="N28" s="34" t="s">
        <v>6</v>
      </c>
      <c r="O28" s="62"/>
      <c r="P28" s="64"/>
      <c r="Q28" s="8">
        <f t="shared" si="4"/>
        <v>90.832499999999982</v>
      </c>
      <c r="R28" s="8">
        <f t="shared" si="2"/>
        <v>1.9799999999999998</v>
      </c>
      <c r="S28" s="8">
        <f t="shared" si="3"/>
        <v>6.1874999999999991</v>
      </c>
    </row>
    <row r="29" spans="1:19" x14ac:dyDescent="0.25">
      <c r="A29" s="26" t="s">
        <v>46</v>
      </c>
      <c r="B29" s="1" t="s">
        <v>14</v>
      </c>
      <c r="C29" s="3">
        <v>5050</v>
      </c>
      <c r="D29" s="3" t="s">
        <v>15</v>
      </c>
      <c r="E29" s="3" t="s">
        <v>33</v>
      </c>
      <c r="F29" s="3" t="s">
        <v>34</v>
      </c>
      <c r="G29" s="3" t="s">
        <v>8</v>
      </c>
      <c r="H29" s="3">
        <v>70</v>
      </c>
      <c r="I29" s="32">
        <f t="shared" si="0"/>
        <v>0.625</v>
      </c>
      <c r="J29" s="33">
        <v>0.375</v>
      </c>
      <c r="K29" s="33">
        <f t="shared" si="6"/>
        <v>0.64399999999999991</v>
      </c>
      <c r="L29" s="36">
        <v>0.3</v>
      </c>
      <c r="M29" s="36">
        <v>5.6000000000000001E-2</v>
      </c>
      <c r="N29" s="34" t="s">
        <v>6</v>
      </c>
      <c r="O29" s="62"/>
      <c r="P29" s="64"/>
      <c r="Q29" s="8">
        <f t="shared" si="4"/>
        <v>46.75439999999999</v>
      </c>
      <c r="R29" s="8">
        <f t="shared" si="2"/>
        <v>21.779999999999998</v>
      </c>
      <c r="S29" s="8">
        <f t="shared" si="3"/>
        <v>4.0655999999999999</v>
      </c>
    </row>
    <row r="30" spans="1:19" x14ac:dyDescent="0.25">
      <c r="A30" s="26" t="s">
        <v>47</v>
      </c>
      <c r="B30" s="1" t="s">
        <v>14</v>
      </c>
      <c r="C30" s="3">
        <v>5050</v>
      </c>
      <c r="D30" s="3" t="s">
        <v>15</v>
      </c>
      <c r="E30" s="3" t="s">
        <v>33</v>
      </c>
      <c r="F30" s="3" t="s">
        <v>36</v>
      </c>
      <c r="G30" s="3" t="s">
        <v>8</v>
      </c>
      <c r="H30" s="3">
        <v>70</v>
      </c>
      <c r="I30" s="32">
        <f t="shared" si="0"/>
        <v>0.625</v>
      </c>
      <c r="J30" s="33">
        <v>0.375</v>
      </c>
      <c r="K30" s="33">
        <f t="shared" si="6"/>
        <v>0.64399999999999991</v>
      </c>
      <c r="L30" s="36">
        <v>0.3</v>
      </c>
      <c r="M30" s="36">
        <v>5.6000000000000001E-2</v>
      </c>
      <c r="N30" s="34" t="s">
        <v>6</v>
      </c>
      <c r="O30" s="62"/>
      <c r="P30" s="64"/>
      <c r="Q30" s="8">
        <f t="shared" si="4"/>
        <v>46.75439999999999</v>
      </c>
      <c r="R30" s="8">
        <f t="shared" si="2"/>
        <v>21.779999999999998</v>
      </c>
      <c r="S30" s="8">
        <f t="shared" si="3"/>
        <v>4.0655999999999999</v>
      </c>
    </row>
    <row r="31" spans="1:19" x14ac:dyDescent="0.25">
      <c r="A31" s="26" t="s">
        <v>48</v>
      </c>
      <c r="B31" s="1" t="s">
        <v>14</v>
      </c>
      <c r="C31" s="2">
        <v>5050</v>
      </c>
      <c r="D31" s="2" t="s">
        <v>15</v>
      </c>
      <c r="E31" s="2" t="s">
        <v>33</v>
      </c>
      <c r="F31" s="2" t="s">
        <v>34</v>
      </c>
      <c r="G31" s="2" t="s">
        <v>10</v>
      </c>
      <c r="H31" s="3">
        <v>70</v>
      </c>
      <c r="I31" s="4">
        <f t="shared" si="0"/>
        <v>0.745</v>
      </c>
      <c r="J31" s="9">
        <v>0.255</v>
      </c>
      <c r="K31" s="5">
        <f t="shared" si="6"/>
        <v>0.51500000000000001</v>
      </c>
      <c r="L31" s="24">
        <v>0.45</v>
      </c>
      <c r="M31" s="24">
        <v>3.5000000000000003E-2</v>
      </c>
      <c r="N31" s="6" t="s">
        <v>6</v>
      </c>
      <c r="O31" s="62"/>
      <c r="P31" s="64"/>
      <c r="Q31" s="8">
        <f t="shared" si="4"/>
        <v>21.329295302013424</v>
      </c>
      <c r="R31" s="8">
        <f t="shared" si="2"/>
        <v>18.637248322147652</v>
      </c>
      <c r="S31" s="8">
        <f t="shared" si="3"/>
        <v>1.449563758389262</v>
      </c>
    </row>
    <row r="32" spans="1:19" x14ac:dyDescent="0.25">
      <c r="A32" s="26" t="s">
        <v>49</v>
      </c>
      <c r="B32" s="1" t="s">
        <v>14</v>
      </c>
      <c r="C32" s="2">
        <v>5050</v>
      </c>
      <c r="D32" s="2" t="s">
        <v>15</v>
      </c>
      <c r="E32" s="2" t="s">
        <v>33</v>
      </c>
      <c r="F32" s="2" t="s">
        <v>36</v>
      </c>
      <c r="G32" s="2" t="s">
        <v>10</v>
      </c>
      <c r="H32" s="3">
        <v>70</v>
      </c>
      <c r="I32" s="4">
        <f t="shared" si="0"/>
        <v>0.73</v>
      </c>
      <c r="J32" s="9">
        <v>0.27</v>
      </c>
      <c r="K32" s="5">
        <f t="shared" si="6"/>
        <v>0.61</v>
      </c>
      <c r="L32" s="24">
        <v>0.35</v>
      </c>
      <c r="M32" s="24">
        <v>0.04</v>
      </c>
      <c r="N32" s="6" t="s">
        <v>24</v>
      </c>
      <c r="O32" s="62"/>
      <c r="P32" s="64"/>
      <c r="Q32" s="8">
        <f t="shared" si="4"/>
        <v>27.299589041095896</v>
      </c>
      <c r="R32" s="8">
        <f t="shared" si="2"/>
        <v>15.663698630136988</v>
      </c>
      <c r="S32" s="8">
        <f t="shared" si="3"/>
        <v>1.7901369863013701</v>
      </c>
    </row>
    <row r="33" spans="1:19" x14ac:dyDescent="0.25">
      <c r="A33" s="26" t="s">
        <v>50</v>
      </c>
      <c r="B33" s="1" t="s">
        <v>1</v>
      </c>
      <c r="C33" s="2">
        <v>5050</v>
      </c>
      <c r="D33" s="2" t="s">
        <v>15</v>
      </c>
      <c r="E33" s="2" t="s">
        <v>51</v>
      </c>
      <c r="F33" s="2" t="s">
        <v>52</v>
      </c>
      <c r="G33" s="2" t="s">
        <v>10</v>
      </c>
      <c r="H33" s="3">
        <v>70</v>
      </c>
      <c r="I33" s="4">
        <f t="shared" si="0"/>
        <v>0.77</v>
      </c>
      <c r="J33" s="9">
        <v>0.23</v>
      </c>
      <c r="K33" s="5">
        <f t="shared" si="6"/>
        <v>0.5595</v>
      </c>
      <c r="L33" s="24">
        <v>0.4</v>
      </c>
      <c r="M33" s="24">
        <v>4.0500000000000001E-2</v>
      </c>
      <c r="N33" s="6" t="s">
        <v>6</v>
      </c>
      <c r="O33" s="62"/>
      <c r="P33" s="64"/>
      <c r="Q33" s="8">
        <f t="shared" si="4"/>
        <v>20.221928571428574</v>
      </c>
      <c r="R33" s="8">
        <f t="shared" si="2"/>
        <v>14.457142857142859</v>
      </c>
      <c r="S33" s="8">
        <f t="shared" si="3"/>
        <v>1.4637857142857145</v>
      </c>
    </row>
    <row r="34" spans="1:19" x14ac:dyDescent="0.25">
      <c r="A34" s="26" t="s">
        <v>53</v>
      </c>
      <c r="B34" s="1" t="s">
        <v>14</v>
      </c>
      <c r="C34" s="3">
        <v>5050</v>
      </c>
      <c r="D34" s="3" t="s">
        <v>15</v>
      </c>
      <c r="E34" s="3" t="s">
        <v>54</v>
      </c>
      <c r="F34" s="3" t="s">
        <v>36</v>
      </c>
      <c r="G34" s="37" t="s">
        <v>12</v>
      </c>
      <c r="H34" s="3">
        <v>70</v>
      </c>
      <c r="I34" s="32">
        <f t="shared" si="0"/>
        <v>0.75</v>
      </c>
      <c r="J34" s="33">
        <v>0.25</v>
      </c>
      <c r="K34" s="33">
        <f t="shared" si="6"/>
        <v>0.77700000000000002</v>
      </c>
      <c r="L34" s="36">
        <v>0.2</v>
      </c>
      <c r="M34" s="36">
        <v>2.3E-2</v>
      </c>
      <c r="N34" s="34" t="s">
        <v>6</v>
      </c>
      <c r="O34" s="62"/>
      <c r="P34" s="64"/>
      <c r="Q34" s="8">
        <f t="shared" si="4"/>
        <v>31.339000000000002</v>
      </c>
      <c r="R34" s="8">
        <f t="shared" si="2"/>
        <v>8.0666666666666682</v>
      </c>
      <c r="S34" s="8">
        <f t="shared" si="3"/>
        <v>0.92766666666666675</v>
      </c>
    </row>
    <row r="35" spans="1:19" x14ac:dyDescent="0.25">
      <c r="A35" s="26" t="s">
        <v>55</v>
      </c>
      <c r="B35" s="1" t="s">
        <v>14</v>
      </c>
      <c r="C35" s="3">
        <v>5050</v>
      </c>
      <c r="D35" s="3" t="s">
        <v>15</v>
      </c>
      <c r="E35" s="3" t="s">
        <v>54</v>
      </c>
      <c r="F35" s="3" t="s">
        <v>34</v>
      </c>
      <c r="G35" s="37" t="s">
        <v>12</v>
      </c>
      <c r="H35" s="3">
        <v>70</v>
      </c>
      <c r="I35" s="32">
        <f t="shared" si="0"/>
        <v>0.82000000000000006</v>
      </c>
      <c r="J35" s="33">
        <v>0.18</v>
      </c>
      <c r="K35" s="33">
        <f t="shared" si="6"/>
        <v>0.93299999999999994</v>
      </c>
      <c r="L35" s="36">
        <v>0.02</v>
      </c>
      <c r="M35" s="36">
        <v>4.7E-2</v>
      </c>
      <c r="N35" s="34" t="s">
        <v>6</v>
      </c>
      <c r="O35" s="62"/>
      <c r="P35" s="64"/>
      <c r="Q35" s="8">
        <f t="shared" si="4"/>
        <v>24.781390243902436</v>
      </c>
      <c r="R35" s="8">
        <f t="shared" si="2"/>
        <v>0.53121951219512187</v>
      </c>
      <c r="S35" s="8">
        <f t="shared" si="3"/>
        <v>1.2483658536585365</v>
      </c>
    </row>
    <row r="36" spans="1:19" x14ac:dyDescent="0.25">
      <c r="A36" s="1" t="s">
        <v>56</v>
      </c>
      <c r="B36" s="1" t="s">
        <v>1</v>
      </c>
      <c r="C36" s="2">
        <v>2835</v>
      </c>
      <c r="D36" s="2" t="s">
        <v>2</v>
      </c>
      <c r="E36" s="2" t="s">
        <v>3</v>
      </c>
      <c r="F36" s="2" t="s">
        <v>4</v>
      </c>
      <c r="G36" s="2" t="s">
        <v>5</v>
      </c>
      <c r="H36" s="3">
        <v>80</v>
      </c>
      <c r="I36" s="4">
        <f t="shared" si="0"/>
        <v>0.46499999999999997</v>
      </c>
      <c r="J36" s="5">
        <v>0.53500000000000003</v>
      </c>
      <c r="K36" s="5">
        <f t="shared" si="6"/>
        <v>0.91549999999999998</v>
      </c>
      <c r="L36" s="5">
        <v>2.5000000000000001E-2</v>
      </c>
      <c r="M36" s="5">
        <v>5.9499999999999997E-2</v>
      </c>
      <c r="N36" s="6" t="s">
        <v>6</v>
      </c>
      <c r="O36" s="62"/>
      <c r="P36" s="64"/>
      <c r="Q36" s="8">
        <f t="shared" si="4"/>
        <v>127.45138172043013</v>
      </c>
      <c r="R36" s="8">
        <f t="shared" si="2"/>
        <v>3.4803763440860225</v>
      </c>
      <c r="S36" s="8">
        <f t="shared" si="3"/>
        <v>8.2832956989247322</v>
      </c>
    </row>
    <row r="37" spans="1:19" x14ac:dyDescent="0.25">
      <c r="A37" s="1" t="s">
        <v>57</v>
      </c>
      <c r="B37" s="1" t="s">
        <v>1</v>
      </c>
      <c r="C37" s="2">
        <v>2835</v>
      </c>
      <c r="D37" s="2" t="s">
        <v>2</v>
      </c>
      <c r="E37" s="2" t="s">
        <v>3</v>
      </c>
      <c r="F37" s="2" t="s">
        <v>4</v>
      </c>
      <c r="G37" s="2" t="s">
        <v>8</v>
      </c>
      <c r="H37" s="3">
        <v>80</v>
      </c>
      <c r="I37" s="4">
        <f t="shared" si="0"/>
        <v>0.59000000000000008</v>
      </c>
      <c r="J37" s="5">
        <v>0.41</v>
      </c>
      <c r="K37" s="5">
        <f t="shared" si="6"/>
        <v>0.92449999999999999</v>
      </c>
      <c r="L37" s="5">
        <v>0.02</v>
      </c>
      <c r="M37" s="5">
        <v>5.5500000000000001E-2</v>
      </c>
      <c r="N37" s="6" t="s">
        <v>6</v>
      </c>
      <c r="O37" s="62"/>
      <c r="P37" s="64"/>
      <c r="Q37" s="8">
        <f t="shared" si="4"/>
        <v>77.736347457627105</v>
      </c>
      <c r="R37" s="8">
        <f t="shared" si="2"/>
        <v>1.6816949152542371</v>
      </c>
      <c r="S37" s="8">
        <f t="shared" si="3"/>
        <v>4.6667033898305075</v>
      </c>
    </row>
    <row r="38" spans="1:19" x14ac:dyDescent="0.25">
      <c r="A38" s="1" t="s">
        <v>58</v>
      </c>
      <c r="B38" s="1" t="s">
        <v>1</v>
      </c>
      <c r="C38" s="2">
        <v>2835</v>
      </c>
      <c r="D38" s="2" t="s">
        <v>2</v>
      </c>
      <c r="E38" s="2" t="s">
        <v>3</v>
      </c>
      <c r="F38" s="2" t="s">
        <v>4</v>
      </c>
      <c r="G38" s="2" t="s">
        <v>10</v>
      </c>
      <c r="H38" s="3">
        <v>80</v>
      </c>
      <c r="I38" s="4">
        <f t="shared" si="0"/>
        <v>0.60499999999999998</v>
      </c>
      <c r="J38" s="9">
        <v>0.39500000000000002</v>
      </c>
      <c r="K38" s="5">
        <f t="shared" si="6"/>
        <v>5.6999999999999981E-2</v>
      </c>
      <c r="L38" s="9">
        <v>0.89800000000000002</v>
      </c>
      <c r="M38" s="9">
        <v>4.4999999999999998E-2</v>
      </c>
      <c r="N38" s="6" t="s">
        <v>6</v>
      </c>
      <c r="O38" s="62"/>
      <c r="P38" s="64"/>
      <c r="Q38" s="8">
        <f t="shared" si="4"/>
        <v>4.5029999999999983</v>
      </c>
      <c r="R38" s="8">
        <f t="shared" si="2"/>
        <v>70.942000000000007</v>
      </c>
      <c r="S38" s="8">
        <f t="shared" si="3"/>
        <v>3.5549999999999997</v>
      </c>
    </row>
    <row r="39" spans="1:19" x14ac:dyDescent="0.25">
      <c r="A39" s="10" t="s">
        <v>59</v>
      </c>
      <c r="B39" s="1" t="s">
        <v>1</v>
      </c>
      <c r="C39" s="2">
        <v>2835</v>
      </c>
      <c r="D39" s="2" t="s">
        <v>2</v>
      </c>
      <c r="E39" s="2" t="s">
        <v>3</v>
      </c>
      <c r="F39" s="2" t="s">
        <v>4</v>
      </c>
      <c r="G39" s="2" t="s">
        <v>12</v>
      </c>
      <c r="H39" s="3">
        <v>80</v>
      </c>
      <c r="I39" s="4">
        <f t="shared" si="0"/>
        <v>0.68500000000000005</v>
      </c>
      <c r="J39" s="9">
        <v>0.315</v>
      </c>
      <c r="K39" s="5">
        <f t="shared" si="6"/>
        <v>5.0000000000000024E-2</v>
      </c>
      <c r="L39" s="9">
        <v>0.91449999999999998</v>
      </c>
      <c r="M39" s="9">
        <v>3.5499999999999997E-2</v>
      </c>
      <c r="N39" s="6" t="s">
        <v>6</v>
      </c>
      <c r="O39" s="62"/>
      <c r="P39" s="64"/>
      <c r="Q39" s="8">
        <f t="shared" si="4"/>
        <v>2.782116788321169</v>
      </c>
      <c r="R39" s="8">
        <f t="shared" si="2"/>
        <v>50.884916058394154</v>
      </c>
      <c r="S39" s="8">
        <f t="shared" si="3"/>
        <v>1.9753029197080287</v>
      </c>
    </row>
    <row r="40" spans="1:19" x14ac:dyDescent="0.25">
      <c r="A40" s="1" t="s">
        <v>60</v>
      </c>
      <c r="B40" s="1" t="s">
        <v>14</v>
      </c>
      <c r="C40" s="1">
        <v>3030</v>
      </c>
      <c r="D40" s="1" t="s">
        <v>15</v>
      </c>
      <c r="E40" s="1" t="s">
        <v>3</v>
      </c>
      <c r="F40" s="1" t="s">
        <v>4</v>
      </c>
      <c r="G40" s="1" t="s">
        <v>5</v>
      </c>
      <c r="H40" s="3">
        <v>80</v>
      </c>
      <c r="I40" s="11">
        <f t="shared" si="0"/>
        <v>0.63</v>
      </c>
      <c r="J40" s="12">
        <v>0.37</v>
      </c>
      <c r="K40" s="12">
        <f t="shared" si="6"/>
        <v>0.89304347826086961</v>
      </c>
      <c r="L40" s="13">
        <v>0.02</v>
      </c>
      <c r="M40" s="13">
        <v>8.6956521739130432E-2</v>
      </c>
      <c r="N40" s="6" t="s">
        <v>6</v>
      </c>
      <c r="O40" s="62"/>
      <c r="P40" s="64"/>
      <c r="Q40" s="8">
        <f t="shared" si="4"/>
        <v>63.462788129744652</v>
      </c>
      <c r="R40" s="8">
        <f t="shared" si="2"/>
        <v>1.4212698412698412</v>
      </c>
      <c r="S40" s="8">
        <f t="shared" si="3"/>
        <v>6.1794340924775701</v>
      </c>
    </row>
    <row r="41" spans="1:19" x14ac:dyDescent="0.25">
      <c r="A41" s="1" t="s">
        <v>61</v>
      </c>
      <c r="B41" s="1" t="s">
        <v>14</v>
      </c>
      <c r="C41" s="14">
        <v>3030</v>
      </c>
      <c r="D41" s="14" t="s">
        <v>15</v>
      </c>
      <c r="E41" s="14" t="s">
        <v>3</v>
      </c>
      <c r="F41" s="14" t="s">
        <v>4</v>
      </c>
      <c r="G41" s="14" t="s">
        <v>8</v>
      </c>
      <c r="H41" s="3">
        <v>80</v>
      </c>
      <c r="I41" s="15">
        <f>100%-J41</f>
        <v>0.52</v>
      </c>
      <c r="J41" s="16">
        <v>0.48</v>
      </c>
      <c r="K41" s="16">
        <f t="shared" si="6"/>
        <v>0.54149999999999998</v>
      </c>
      <c r="L41" s="17">
        <v>0.4</v>
      </c>
      <c r="M41" s="17">
        <v>5.8500000000000003E-2</v>
      </c>
      <c r="N41" s="18" t="s">
        <v>6</v>
      </c>
      <c r="O41" s="62"/>
      <c r="P41" s="64"/>
      <c r="Q41" s="8">
        <f t="shared" si="4"/>
        <v>60.481384615384606</v>
      </c>
      <c r="R41" s="8">
        <f t="shared" si="2"/>
        <v>44.676923076923075</v>
      </c>
      <c r="S41" s="8">
        <f t="shared" si="3"/>
        <v>6.5339999999999998</v>
      </c>
    </row>
    <row r="42" spans="1:19" x14ac:dyDescent="0.25">
      <c r="A42" s="1" t="s">
        <v>62</v>
      </c>
      <c r="B42" s="1" t="s">
        <v>14</v>
      </c>
      <c r="C42" s="19">
        <v>3030</v>
      </c>
      <c r="D42" s="19" t="s">
        <v>15</v>
      </c>
      <c r="E42" s="19" t="s">
        <v>3</v>
      </c>
      <c r="F42" s="19" t="s">
        <v>4</v>
      </c>
      <c r="G42" s="19" t="s">
        <v>10</v>
      </c>
      <c r="H42" s="3">
        <v>80</v>
      </c>
      <c r="I42" s="20">
        <f t="shared" si="0"/>
        <v>0.6</v>
      </c>
      <c r="J42" s="16">
        <v>0.4</v>
      </c>
      <c r="K42" s="21">
        <f t="shared" si="6"/>
        <v>0.55799999999999994</v>
      </c>
      <c r="L42" s="22">
        <v>0.4</v>
      </c>
      <c r="M42" s="22">
        <v>4.2000000000000003E-2</v>
      </c>
      <c r="N42" s="18" t="s">
        <v>6</v>
      </c>
      <c r="O42" s="62"/>
      <c r="P42" s="64"/>
      <c r="Q42" s="8">
        <f t="shared" si="4"/>
        <v>45.012000000000008</v>
      </c>
      <c r="R42" s="8">
        <f t="shared" si="2"/>
        <v>32.266666666666673</v>
      </c>
      <c r="S42" s="8">
        <f t="shared" si="3"/>
        <v>3.3880000000000008</v>
      </c>
    </row>
    <row r="43" spans="1:19" x14ac:dyDescent="0.25">
      <c r="A43" s="1" t="s">
        <v>63</v>
      </c>
      <c r="B43" s="1" t="s">
        <v>14</v>
      </c>
      <c r="C43" s="2">
        <v>3030</v>
      </c>
      <c r="D43" s="2" t="s">
        <v>15</v>
      </c>
      <c r="E43" s="2" t="s">
        <v>3</v>
      </c>
      <c r="F43" s="2" t="s">
        <v>4</v>
      </c>
      <c r="G43" s="23" t="s">
        <v>12</v>
      </c>
      <c r="H43" s="3">
        <v>80</v>
      </c>
      <c r="I43" s="4">
        <f t="shared" si="0"/>
        <v>0.67300000000000004</v>
      </c>
      <c r="J43" s="9">
        <v>0.32700000000000001</v>
      </c>
      <c r="K43" s="5">
        <f t="shared" si="6"/>
        <v>0.56499999999999995</v>
      </c>
      <c r="L43" s="24">
        <v>0.4</v>
      </c>
      <c r="M43" s="24">
        <v>3.5000000000000003E-2</v>
      </c>
      <c r="N43" s="6" t="s">
        <v>6</v>
      </c>
      <c r="O43" s="62"/>
      <c r="P43" s="64"/>
      <c r="Q43" s="8">
        <f t="shared" si="4"/>
        <v>33.217466567607723</v>
      </c>
      <c r="R43" s="8">
        <f t="shared" si="2"/>
        <v>23.516790490341755</v>
      </c>
      <c r="S43" s="8">
        <f t="shared" si="3"/>
        <v>2.0577191679049038</v>
      </c>
    </row>
    <row r="44" spans="1:19" x14ac:dyDescent="0.25">
      <c r="A44" s="1" t="s">
        <v>64</v>
      </c>
      <c r="B44" s="1" t="s">
        <v>14</v>
      </c>
      <c r="C44" s="19">
        <v>3030</v>
      </c>
      <c r="D44" s="19" t="s">
        <v>15</v>
      </c>
      <c r="E44" s="19" t="s">
        <v>20</v>
      </c>
      <c r="F44" s="19" t="s">
        <v>21</v>
      </c>
      <c r="G44" s="19" t="s">
        <v>5</v>
      </c>
      <c r="H44" s="3">
        <v>80</v>
      </c>
      <c r="I44" s="20">
        <f t="shared" si="0"/>
        <v>0.53</v>
      </c>
      <c r="J44" s="21">
        <v>0.47</v>
      </c>
      <c r="K44" s="21">
        <f t="shared" si="6"/>
        <v>0.90500000000000003</v>
      </c>
      <c r="L44" s="25">
        <v>0.02</v>
      </c>
      <c r="M44" s="25">
        <v>7.4999999999999997E-2</v>
      </c>
      <c r="N44" s="18" t="s">
        <v>6</v>
      </c>
      <c r="O44" s="62"/>
      <c r="P44" s="64"/>
      <c r="Q44" s="8">
        <f t="shared" si="4"/>
        <v>97.108207547169798</v>
      </c>
      <c r="R44" s="8">
        <f t="shared" si="2"/>
        <v>2.1460377358490565</v>
      </c>
      <c r="S44" s="8">
        <f t="shared" si="3"/>
        <v>8.0476415094339604</v>
      </c>
    </row>
    <row r="45" spans="1:19" x14ac:dyDescent="0.25">
      <c r="A45" s="1" t="s">
        <v>65</v>
      </c>
      <c r="B45" s="1" t="s">
        <v>14</v>
      </c>
      <c r="C45" s="2">
        <v>3030</v>
      </c>
      <c r="D45" s="2" t="s">
        <v>15</v>
      </c>
      <c r="E45" s="2" t="s">
        <v>20</v>
      </c>
      <c r="F45" s="2" t="s">
        <v>21</v>
      </c>
      <c r="G45" s="2" t="s">
        <v>8</v>
      </c>
      <c r="H45" s="3">
        <v>80</v>
      </c>
      <c r="I45" s="4">
        <f t="shared" si="0"/>
        <v>0.61</v>
      </c>
      <c r="J45" s="5">
        <v>0.39</v>
      </c>
      <c r="K45" s="5">
        <f t="shared" si="6"/>
        <v>0.50700000000000012</v>
      </c>
      <c r="L45" s="5">
        <v>0.43</v>
      </c>
      <c r="M45" s="5">
        <v>6.3E-2</v>
      </c>
      <c r="N45" s="6" t="s">
        <v>6</v>
      </c>
      <c r="O45" s="62"/>
      <c r="P45" s="64"/>
      <c r="Q45" s="8">
        <f t="shared" si="4"/>
        <v>39.221852459016404</v>
      </c>
      <c r="R45" s="8">
        <f t="shared" si="2"/>
        <v>33.265081967213114</v>
      </c>
      <c r="S45" s="8">
        <f t="shared" si="3"/>
        <v>4.8737213114754097</v>
      </c>
    </row>
    <row r="46" spans="1:19" x14ac:dyDescent="0.25">
      <c r="A46" s="1" t="s">
        <v>66</v>
      </c>
      <c r="B46" s="1" t="s">
        <v>14</v>
      </c>
      <c r="C46" s="19">
        <v>3030</v>
      </c>
      <c r="D46" s="19" t="s">
        <v>15</v>
      </c>
      <c r="E46" s="19" t="s">
        <v>20</v>
      </c>
      <c r="F46" s="19" t="s">
        <v>21</v>
      </c>
      <c r="G46" s="19" t="s">
        <v>10</v>
      </c>
      <c r="H46" s="3">
        <v>80</v>
      </c>
      <c r="I46" s="20">
        <f t="shared" si="0"/>
        <v>0.625</v>
      </c>
      <c r="J46" s="16">
        <v>0.375</v>
      </c>
      <c r="K46" s="21">
        <f t="shared" si="6"/>
        <v>0.51999999999999991</v>
      </c>
      <c r="L46" s="22">
        <v>0.43099999999999999</v>
      </c>
      <c r="M46" s="22">
        <v>4.9000000000000002E-2</v>
      </c>
      <c r="N46" s="18" t="s">
        <v>24</v>
      </c>
      <c r="O46" s="62"/>
      <c r="P46" s="64"/>
      <c r="Q46" s="8">
        <f t="shared" si="4"/>
        <v>37.751999999999988</v>
      </c>
      <c r="R46" s="8">
        <f t="shared" si="2"/>
        <v>31.290599999999998</v>
      </c>
      <c r="S46" s="8">
        <f t="shared" si="3"/>
        <v>3.5573999999999999</v>
      </c>
    </row>
    <row r="47" spans="1:19" x14ac:dyDescent="0.25">
      <c r="A47" s="1" t="s">
        <v>67</v>
      </c>
      <c r="B47" s="1" t="s">
        <v>14</v>
      </c>
      <c r="C47" s="19">
        <v>3030</v>
      </c>
      <c r="D47" s="19" t="s">
        <v>15</v>
      </c>
      <c r="E47" s="19" t="s">
        <v>20</v>
      </c>
      <c r="F47" s="19" t="s">
        <v>21</v>
      </c>
      <c r="G47" s="19" t="s">
        <v>12</v>
      </c>
      <c r="H47" s="3">
        <v>80</v>
      </c>
      <c r="I47" s="20">
        <f t="shared" si="0"/>
        <v>0.69</v>
      </c>
      <c r="J47" s="21">
        <v>0.31</v>
      </c>
      <c r="K47" s="21">
        <f t="shared" si="6"/>
        <v>0.55999999999999994</v>
      </c>
      <c r="L47" s="21">
        <v>0.4</v>
      </c>
      <c r="M47" s="21">
        <v>0.04</v>
      </c>
      <c r="N47" s="18" t="s">
        <v>6</v>
      </c>
      <c r="O47" s="62"/>
      <c r="P47" s="64"/>
      <c r="Q47" s="8">
        <f t="shared" si="4"/>
        <v>30.442898550724635</v>
      </c>
      <c r="R47" s="8">
        <f t="shared" si="2"/>
        <v>21.744927536231884</v>
      </c>
      <c r="S47" s="8">
        <f t="shared" si="3"/>
        <v>2.1744927536231886</v>
      </c>
    </row>
    <row r="48" spans="1:19" x14ac:dyDescent="0.25">
      <c r="A48" s="26" t="s">
        <v>68</v>
      </c>
      <c r="B48" s="1" t="s">
        <v>14</v>
      </c>
      <c r="C48" s="1">
        <v>5050</v>
      </c>
      <c r="D48" s="1" t="s">
        <v>15</v>
      </c>
      <c r="E48" s="1" t="s">
        <v>27</v>
      </c>
      <c r="F48" s="1" t="s">
        <v>28</v>
      </c>
      <c r="G48" s="1" t="s">
        <v>5</v>
      </c>
      <c r="H48" s="3">
        <v>80</v>
      </c>
      <c r="I48" s="11">
        <f t="shared" si="0"/>
        <v>0.53499999999999992</v>
      </c>
      <c r="J48" s="12">
        <v>0.46500000000000002</v>
      </c>
      <c r="K48" s="12">
        <f>100%-L48-M48</f>
        <v>0.90749999999999997</v>
      </c>
      <c r="L48" s="13">
        <v>0.02</v>
      </c>
      <c r="M48" s="13">
        <v>7.2499999999999995E-2</v>
      </c>
      <c r="N48" s="6" t="s">
        <v>6</v>
      </c>
      <c r="O48" s="62"/>
      <c r="P48" s="64"/>
      <c r="Q48" s="8">
        <f t="shared" si="4"/>
        <v>95.440163551401881</v>
      </c>
      <c r="R48" s="8">
        <f t="shared" si="2"/>
        <v>2.103364485981309</v>
      </c>
      <c r="S48" s="8">
        <f t="shared" si="3"/>
        <v>7.624696261682244</v>
      </c>
    </row>
    <row r="49" spans="1:19" x14ac:dyDescent="0.25">
      <c r="A49" s="26" t="s">
        <v>69</v>
      </c>
      <c r="B49" s="1" t="s">
        <v>14</v>
      </c>
      <c r="C49" s="1">
        <v>5050</v>
      </c>
      <c r="D49" s="1" t="s">
        <v>15</v>
      </c>
      <c r="E49" s="1" t="s">
        <v>27</v>
      </c>
      <c r="F49" s="1" t="s">
        <v>28</v>
      </c>
      <c r="G49" s="1" t="s">
        <v>8</v>
      </c>
      <c r="H49" s="3">
        <v>80</v>
      </c>
      <c r="I49" s="11">
        <f>100%-J49</f>
        <v>0.68599999999999994</v>
      </c>
      <c r="J49" s="12">
        <v>0.314</v>
      </c>
      <c r="K49" s="12">
        <f t="shared" si="6"/>
        <v>0.90700000000000003</v>
      </c>
      <c r="L49" s="13">
        <v>0.02</v>
      </c>
      <c r="M49" s="13">
        <v>7.2999999999999995E-2</v>
      </c>
      <c r="N49" s="6" t="s">
        <v>6</v>
      </c>
      <c r="O49" s="62"/>
      <c r="P49" s="64"/>
      <c r="Q49" s="8">
        <f t="shared" si="4"/>
        <v>50.234049562682216</v>
      </c>
      <c r="R49" s="8">
        <f t="shared" si="2"/>
        <v>1.1076967930029153</v>
      </c>
      <c r="S49" s="8">
        <f t="shared" si="3"/>
        <v>4.0430932944606415</v>
      </c>
    </row>
    <row r="50" spans="1:19" x14ac:dyDescent="0.25">
      <c r="A50" s="26" t="s">
        <v>70</v>
      </c>
      <c r="B50" s="1" t="s">
        <v>14</v>
      </c>
      <c r="C50" s="2">
        <v>5050</v>
      </c>
      <c r="D50" s="2" t="s">
        <v>15</v>
      </c>
      <c r="E50" s="2" t="s">
        <v>27</v>
      </c>
      <c r="F50" s="2" t="s">
        <v>28</v>
      </c>
      <c r="G50" s="2" t="s">
        <v>10</v>
      </c>
      <c r="H50" s="3">
        <v>80</v>
      </c>
      <c r="I50" s="4">
        <f t="shared" si="0"/>
        <v>0.63</v>
      </c>
      <c r="J50" s="9">
        <v>0.37</v>
      </c>
      <c r="K50" s="5">
        <f t="shared" si="6"/>
        <v>0.85299999999999998</v>
      </c>
      <c r="L50" s="24">
        <v>0.1</v>
      </c>
      <c r="M50" s="24">
        <v>4.7E-2</v>
      </c>
      <c r="N50" s="6" t="s">
        <v>6</v>
      </c>
      <c r="O50" s="62"/>
      <c r="P50" s="64"/>
      <c r="Q50" s="8">
        <f t="shared" si="4"/>
        <v>60.617158730158728</v>
      </c>
      <c r="R50" s="8">
        <f t="shared" si="2"/>
        <v>7.1063492063492069</v>
      </c>
      <c r="S50" s="8">
        <f t="shared" si="3"/>
        <v>3.3399841269841271</v>
      </c>
    </row>
    <row r="51" spans="1:19" x14ac:dyDescent="0.25">
      <c r="A51" s="26" t="s">
        <v>71</v>
      </c>
      <c r="B51" s="1" t="s">
        <v>14</v>
      </c>
      <c r="C51" s="27">
        <v>5050</v>
      </c>
      <c r="D51" s="27" t="s">
        <v>15</v>
      </c>
      <c r="E51" s="27" t="s">
        <v>27</v>
      </c>
      <c r="F51" s="27" t="s">
        <v>28</v>
      </c>
      <c r="G51" s="27" t="s">
        <v>12</v>
      </c>
      <c r="H51" s="3">
        <v>80</v>
      </c>
      <c r="I51" s="28">
        <f>100%-J51</f>
        <v>0.81600000000000006</v>
      </c>
      <c r="J51" s="29">
        <v>0.184</v>
      </c>
      <c r="K51" s="29">
        <f t="shared" si="6"/>
        <v>0.93499999999999994</v>
      </c>
      <c r="L51" s="30">
        <v>0.02</v>
      </c>
      <c r="M51" s="30">
        <v>4.4999999999999998E-2</v>
      </c>
      <c r="N51" s="31" t="s">
        <v>6</v>
      </c>
      <c r="O51" s="62"/>
      <c r="P51" s="64"/>
      <c r="Q51" s="8">
        <f t="shared" si="4"/>
        <v>25.510833333333334</v>
      </c>
      <c r="R51" s="8">
        <f t="shared" si="2"/>
        <v>0.545686274509804</v>
      </c>
      <c r="S51" s="8">
        <f t="shared" si="3"/>
        <v>1.2277941176470588</v>
      </c>
    </row>
    <row r="52" spans="1:19" x14ac:dyDescent="0.25">
      <c r="A52" s="26" t="s">
        <v>72</v>
      </c>
      <c r="B52" s="1" t="s">
        <v>14</v>
      </c>
      <c r="C52" s="3">
        <v>5050</v>
      </c>
      <c r="D52" s="3" t="s">
        <v>15</v>
      </c>
      <c r="E52" s="3" t="s">
        <v>33</v>
      </c>
      <c r="F52" s="3" t="s">
        <v>34</v>
      </c>
      <c r="G52" s="3" t="s">
        <v>5</v>
      </c>
      <c r="H52" s="3">
        <v>80</v>
      </c>
      <c r="I52" s="32">
        <f t="shared" ref="I52:I60" si="7">100%-J52</f>
        <v>0.55000000000000004</v>
      </c>
      <c r="J52" s="33">
        <v>0.45</v>
      </c>
      <c r="K52" s="33">
        <f t="shared" si="6"/>
        <v>0.91749999999999998</v>
      </c>
      <c r="L52" s="36">
        <v>0.02</v>
      </c>
      <c r="M52" s="36">
        <v>6.25E-2</v>
      </c>
      <c r="N52" s="34" t="s">
        <v>6</v>
      </c>
      <c r="O52" s="62"/>
      <c r="P52" s="64"/>
      <c r="Q52" s="8">
        <f t="shared" si="4"/>
        <v>90.832499999999982</v>
      </c>
      <c r="R52" s="8">
        <f t="shared" si="2"/>
        <v>1.9799999999999998</v>
      </c>
      <c r="S52" s="8">
        <f t="shared" si="3"/>
        <v>6.1874999999999991</v>
      </c>
    </row>
    <row r="53" spans="1:19" x14ac:dyDescent="0.25">
      <c r="A53" s="26" t="s">
        <v>73</v>
      </c>
      <c r="B53" s="1" t="s">
        <v>14</v>
      </c>
      <c r="C53" s="3">
        <v>5050</v>
      </c>
      <c r="D53" s="3" t="s">
        <v>15</v>
      </c>
      <c r="E53" s="3" t="s">
        <v>33</v>
      </c>
      <c r="F53" s="3" t="s">
        <v>36</v>
      </c>
      <c r="G53" s="3" t="s">
        <v>5</v>
      </c>
      <c r="H53" s="3">
        <v>80</v>
      </c>
      <c r="I53" s="32">
        <f t="shared" si="7"/>
        <v>0.56000000000000005</v>
      </c>
      <c r="J53" s="33">
        <v>0.44</v>
      </c>
      <c r="K53" s="33">
        <f t="shared" si="6"/>
        <v>4.4999999999999998E-2</v>
      </c>
      <c r="L53" s="36">
        <v>0.88</v>
      </c>
      <c r="M53" s="36">
        <v>7.4999999999999997E-2</v>
      </c>
      <c r="N53" s="34" t="s">
        <v>6</v>
      </c>
      <c r="O53" s="62"/>
      <c r="P53" s="64"/>
      <c r="Q53" s="8">
        <f t="shared" si="4"/>
        <v>4.2782142857142853</v>
      </c>
      <c r="R53" s="8">
        <f t="shared" si="2"/>
        <v>83.662857142857135</v>
      </c>
      <c r="S53" s="8">
        <f t="shared" si="3"/>
        <v>7.1303571428571422</v>
      </c>
    </row>
    <row r="54" spans="1:19" x14ac:dyDescent="0.25">
      <c r="A54" s="26" t="s">
        <v>74</v>
      </c>
      <c r="B54" s="1" t="s">
        <v>1</v>
      </c>
      <c r="C54" s="3">
        <v>5050</v>
      </c>
      <c r="D54" s="3" t="s">
        <v>15</v>
      </c>
      <c r="E54" s="3" t="s">
        <v>51</v>
      </c>
      <c r="F54" s="3" t="s">
        <v>52</v>
      </c>
      <c r="G54" s="3" t="s">
        <v>5</v>
      </c>
      <c r="H54" s="3">
        <v>80</v>
      </c>
      <c r="I54" s="32">
        <f t="shared" si="7"/>
        <v>0.59499999999999997</v>
      </c>
      <c r="J54" s="33">
        <v>0.40500000000000003</v>
      </c>
      <c r="K54" s="33">
        <f t="shared" si="6"/>
        <v>0.90849999999999997</v>
      </c>
      <c r="L54" s="36">
        <v>0.02</v>
      </c>
      <c r="M54" s="36">
        <v>7.1499999999999994E-2</v>
      </c>
      <c r="N54" s="34" t="s">
        <v>6</v>
      </c>
      <c r="O54" s="62"/>
      <c r="P54" s="64"/>
      <c r="Q54" s="8">
        <f t="shared" si="4"/>
        <v>74.825281512605059</v>
      </c>
      <c r="R54" s="8">
        <f t="shared" si="2"/>
        <v>1.6472268907563028</v>
      </c>
      <c r="S54" s="8">
        <f t="shared" si="3"/>
        <v>5.8888361344537818</v>
      </c>
    </row>
    <row r="55" spans="1:19" x14ac:dyDescent="0.25">
      <c r="A55" s="26" t="s">
        <v>75</v>
      </c>
      <c r="B55" s="1" t="s">
        <v>14</v>
      </c>
      <c r="C55" s="3">
        <v>5050</v>
      </c>
      <c r="D55" s="3" t="s">
        <v>15</v>
      </c>
      <c r="E55" s="3" t="s">
        <v>33</v>
      </c>
      <c r="F55" s="3" t="s">
        <v>34</v>
      </c>
      <c r="G55" s="3" t="s">
        <v>8</v>
      </c>
      <c r="H55" s="3">
        <v>80</v>
      </c>
      <c r="I55" s="32">
        <f t="shared" si="7"/>
        <v>0.6</v>
      </c>
      <c r="J55" s="33">
        <v>0.4</v>
      </c>
      <c r="K55" s="33">
        <f t="shared" si="6"/>
        <v>4.4999999999999984E-2</v>
      </c>
      <c r="L55" s="36">
        <v>0.88800000000000001</v>
      </c>
      <c r="M55" s="36">
        <v>6.7000000000000004E-2</v>
      </c>
      <c r="N55" s="34" t="s">
        <v>6</v>
      </c>
      <c r="O55" s="62"/>
      <c r="P55" s="64"/>
      <c r="Q55" s="8">
        <f t="shared" si="4"/>
        <v>3.6299999999999994</v>
      </c>
      <c r="R55" s="8">
        <f t="shared" si="2"/>
        <v>71.632000000000019</v>
      </c>
      <c r="S55" s="8">
        <f t="shared" si="3"/>
        <v>5.4046666666666683</v>
      </c>
    </row>
    <row r="56" spans="1:19" x14ac:dyDescent="0.25">
      <c r="A56" s="26" t="s">
        <v>76</v>
      </c>
      <c r="B56" s="1" t="s">
        <v>14</v>
      </c>
      <c r="C56" s="3">
        <v>5050</v>
      </c>
      <c r="D56" s="3" t="s">
        <v>15</v>
      </c>
      <c r="E56" s="3" t="s">
        <v>33</v>
      </c>
      <c r="F56" s="3" t="s">
        <v>36</v>
      </c>
      <c r="G56" s="3" t="s">
        <v>8</v>
      </c>
      <c r="H56" s="3">
        <v>80</v>
      </c>
      <c r="I56" s="32">
        <f t="shared" si="7"/>
        <v>0.58000000000000007</v>
      </c>
      <c r="J56" s="33">
        <v>0.42</v>
      </c>
      <c r="K56" s="33">
        <f t="shared" si="6"/>
        <v>4.500000000000004E-2</v>
      </c>
      <c r="L56" s="36">
        <v>0.89249999999999996</v>
      </c>
      <c r="M56" s="36">
        <v>6.25E-2</v>
      </c>
      <c r="N56" s="34" t="s">
        <v>6</v>
      </c>
      <c r="O56" s="62"/>
      <c r="P56" s="64"/>
      <c r="Q56" s="8">
        <f t="shared" si="4"/>
        <v>3.9429310344827613</v>
      </c>
      <c r="R56" s="8">
        <f t="shared" si="2"/>
        <v>78.20146551724136</v>
      </c>
      <c r="S56" s="8">
        <f t="shared" si="3"/>
        <v>5.4762931034482749</v>
      </c>
    </row>
    <row r="57" spans="1:19" x14ac:dyDescent="0.25">
      <c r="A57" s="26" t="s">
        <v>77</v>
      </c>
      <c r="B57" s="1" t="s">
        <v>14</v>
      </c>
      <c r="C57" s="2">
        <v>5050</v>
      </c>
      <c r="D57" s="2" t="s">
        <v>15</v>
      </c>
      <c r="E57" s="2" t="s">
        <v>33</v>
      </c>
      <c r="F57" s="2" t="s">
        <v>34</v>
      </c>
      <c r="G57" s="2" t="s">
        <v>10</v>
      </c>
      <c r="H57" s="3">
        <v>80</v>
      </c>
      <c r="I57" s="4">
        <f t="shared" si="7"/>
        <v>0.69</v>
      </c>
      <c r="J57" s="9">
        <v>0.31</v>
      </c>
      <c r="K57" s="5">
        <f t="shared" si="6"/>
        <v>5.0999999999999983E-2</v>
      </c>
      <c r="L57" s="24">
        <v>0.89500000000000002</v>
      </c>
      <c r="M57" s="24">
        <v>5.3999999999999999E-2</v>
      </c>
      <c r="N57" s="6" t="s">
        <v>6</v>
      </c>
      <c r="O57" s="62"/>
      <c r="P57" s="64"/>
      <c r="Q57" s="8">
        <f t="shared" si="4"/>
        <v>2.7724782608695642</v>
      </c>
      <c r="R57" s="8">
        <f t="shared" si="2"/>
        <v>48.654275362318842</v>
      </c>
      <c r="S57" s="8">
        <f t="shared" si="3"/>
        <v>2.9355652173913045</v>
      </c>
    </row>
    <row r="58" spans="1:19" x14ac:dyDescent="0.25">
      <c r="A58" s="26" t="s">
        <v>78</v>
      </c>
      <c r="B58" s="1" t="s">
        <v>14</v>
      </c>
      <c r="C58" s="2">
        <v>5050</v>
      </c>
      <c r="D58" s="2" t="s">
        <v>15</v>
      </c>
      <c r="E58" s="2" t="s">
        <v>33</v>
      </c>
      <c r="F58" s="2" t="s">
        <v>36</v>
      </c>
      <c r="G58" s="2" t="s">
        <v>10</v>
      </c>
      <c r="H58" s="3">
        <v>80</v>
      </c>
      <c r="I58" s="4">
        <f t="shared" si="7"/>
        <v>0.65500000000000003</v>
      </c>
      <c r="J58" s="9">
        <v>0.34499999999999997</v>
      </c>
      <c r="K58" s="5">
        <f t="shared" si="6"/>
        <v>0.90799999999999992</v>
      </c>
      <c r="L58" s="24">
        <v>0.05</v>
      </c>
      <c r="M58" s="24">
        <v>4.2000000000000003E-2</v>
      </c>
      <c r="N58" s="6" t="s">
        <v>6</v>
      </c>
      <c r="O58" s="62"/>
      <c r="P58" s="64"/>
      <c r="Q58" s="8">
        <f t="shared" si="4"/>
        <v>57.869404580152661</v>
      </c>
      <c r="R58" s="8">
        <f t="shared" si="2"/>
        <v>3.186641221374046</v>
      </c>
      <c r="S58" s="8">
        <f t="shared" si="3"/>
        <v>2.6767786259541984</v>
      </c>
    </row>
    <row r="59" spans="1:19" x14ac:dyDescent="0.25">
      <c r="A59" s="26" t="s">
        <v>79</v>
      </c>
      <c r="B59" s="1" t="s">
        <v>14</v>
      </c>
      <c r="C59" s="3">
        <v>5050</v>
      </c>
      <c r="D59" s="3" t="s">
        <v>15</v>
      </c>
      <c r="E59" s="3" t="s">
        <v>54</v>
      </c>
      <c r="F59" s="3" t="s">
        <v>36</v>
      </c>
      <c r="G59" s="37" t="s">
        <v>12</v>
      </c>
      <c r="H59" s="3">
        <v>80</v>
      </c>
      <c r="I59" s="32">
        <f t="shared" si="7"/>
        <v>0.745</v>
      </c>
      <c r="J59" s="33">
        <v>0.255</v>
      </c>
      <c r="K59" s="33">
        <v>5.0999999999999997E-2</v>
      </c>
      <c r="L59" s="36">
        <v>0.90249999999999997</v>
      </c>
      <c r="M59" s="36">
        <v>4.65E-2</v>
      </c>
      <c r="N59" s="34" t="s">
        <v>6</v>
      </c>
      <c r="O59" s="62"/>
      <c r="P59" s="64"/>
      <c r="Q59" s="8">
        <f t="shared" si="4"/>
        <v>2.1122214765100669</v>
      </c>
      <c r="R59" s="8">
        <f t="shared" si="2"/>
        <v>37.378036912751675</v>
      </c>
      <c r="S59" s="8">
        <f t="shared" si="3"/>
        <v>1.9258489932885907</v>
      </c>
    </row>
    <row r="60" spans="1:19" x14ac:dyDescent="0.25">
      <c r="A60" s="26" t="s">
        <v>80</v>
      </c>
      <c r="B60" s="1" t="s">
        <v>14</v>
      </c>
      <c r="C60" s="3">
        <v>5050</v>
      </c>
      <c r="D60" s="3" t="s">
        <v>15</v>
      </c>
      <c r="E60" s="3" t="s">
        <v>54</v>
      </c>
      <c r="F60" s="3" t="s">
        <v>34</v>
      </c>
      <c r="G60" s="37" t="s">
        <v>12</v>
      </c>
      <c r="H60" s="3">
        <v>80</v>
      </c>
      <c r="I60" s="32">
        <f t="shared" si="7"/>
        <v>0.82000000000000006</v>
      </c>
      <c r="J60" s="33">
        <v>0.18</v>
      </c>
      <c r="K60" s="33">
        <f>100%-L60-M60</f>
        <v>0.93299999999999994</v>
      </c>
      <c r="L60" s="36">
        <v>0.02</v>
      </c>
      <c r="M60" s="36">
        <v>4.7E-2</v>
      </c>
      <c r="N60" s="34" t="s">
        <v>6</v>
      </c>
      <c r="O60" s="62"/>
      <c r="P60" s="64"/>
      <c r="Q60" s="8">
        <f t="shared" si="4"/>
        <v>24.781390243902436</v>
      </c>
      <c r="R60" s="8">
        <f t="shared" si="2"/>
        <v>0.53121951219512187</v>
      </c>
      <c r="S60" s="8">
        <f t="shared" si="3"/>
        <v>1.2483658536585365</v>
      </c>
    </row>
    <row r="61" spans="1:19" x14ac:dyDescent="0.25">
      <c r="A61" s="1" t="s">
        <v>81</v>
      </c>
      <c r="B61" s="1" t="s">
        <v>1</v>
      </c>
      <c r="C61" s="2">
        <v>2835</v>
      </c>
      <c r="D61" s="3" t="s">
        <v>82</v>
      </c>
      <c r="E61" s="2" t="s">
        <v>3</v>
      </c>
      <c r="F61" s="2" t="s">
        <v>4</v>
      </c>
      <c r="G61" s="2" t="s">
        <v>5</v>
      </c>
      <c r="H61" s="3">
        <v>70</v>
      </c>
      <c r="I61" s="4">
        <f>100%-J61</f>
        <v>0.55000000000000004</v>
      </c>
      <c r="J61" s="5">
        <v>0.45</v>
      </c>
      <c r="K61" s="5">
        <f t="shared" ref="K61:K72" si="8">100%-L61-M61</f>
        <v>0.9153</v>
      </c>
      <c r="L61" s="5">
        <v>0.02</v>
      </c>
      <c r="M61" s="5">
        <v>6.4699999999999994E-2</v>
      </c>
      <c r="N61" s="6" t="s">
        <v>6</v>
      </c>
      <c r="O61" s="62"/>
      <c r="P61" s="64"/>
      <c r="Q61" s="8">
        <f t="shared" si="4"/>
        <v>90.614699999999985</v>
      </c>
      <c r="R61" s="8">
        <f t="shared" si="2"/>
        <v>1.9799999999999998</v>
      </c>
      <c r="S61" s="8">
        <f t="shared" si="3"/>
        <v>6.4052999999999987</v>
      </c>
    </row>
    <row r="62" spans="1:19" x14ac:dyDescent="0.25">
      <c r="A62" s="1" t="s">
        <v>83</v>
      </c>
      <c r="B62" s="1" t="s">
        <v>1</v>
      </c>
      <c r="C62" s="2">
        <v>2835</v>
      </c>
      <c r="D62" s="3" t="s">
        <v>82</v>
      </c>
      <c r="E62" s="2" t="s">
        <v>3</v>
      </c>
      <c r="F62" s="2" t="s">
        <v>4</v>
      </c>
      <c r="G62" s="2" t="s">
        <v>8</v>
      </c>
      <c r="H62" s="3">
        <v>70</v>
      </c>
      <c r="I62" s="4">
        <f>100%-J62</f>
        <v>0.59000000000000008</v>
      </c>
      <c r="J62" s="5">
        <v>0.41</v>
      </c>
      <c r="K62" s="5">
        <f t="shared" si="8"/>
        <v>0.92449999999999999</v>
      </c>
      <c r="L62" s="5">
        <v>0.02</v>
      </c>
      <c r="M62" s="5">
        <v>5.5500000000000001E-2</v>
      </c>
      <c r="N62" s="6" t="s">
        <v>6</v>
      </c>
      <c r="O62" s="62"/>
      <c r="P62" s="64"/>
      <c r="Q62" s="8">
        <f t="shared" si="4"/>
        <v>77.736347457627105</v>
      </c>
      <c r="R62" s="8">
        <f t="shared" si="2"/>
        <v>1.6816949152542371</v>
      </c>
      <c r="S62" s="8">
        <f t="shared" si="3"/>
        <v>4.6667033898305075</v>
      </c>
    </row>
    <row r="63" spans="1:19" x14ac:dyDescent="0.25">
      <c r="A63" s="1" t="s">
        <v>84</v>
      </c>
      <c r="B63" s="1" t="s">
        <v>1</v>
      </c>
      <c r="C63" s="2">
        <v>2835</v>
      </c>
      <c r="D63" s="3" t="s">
        <v>82</v>
      </c>
      <c r="E63" s="2" t="s">
        <v>3</v>
      </c>
      <c r="F63" s="2" t="s">
        <v>4</v>
      </c>
      <c r="G63" s="2" t="s">
        <v>10</v>
      </c>
      <c r="H63" s="3">
        <v>70</v>
      </c>
      <c r="I63" s="4">
        <f t="shared" ref="I63:I65" si="9">100%-J63</f>
        <v>0.72499999999999998</v>
      </c>
      <c r="J63" s="9">
        <v>0.27500000000000002</v>
      </c>
      <c r="K63" s="5">
        <f t="shared" si="8"/>
        <v>0.93051951219512197</v>
      </c>
      <c r="L63" s="9">
        <v>0.02</v>
      </c>
      <c r="M63" s="9">
        <v>4.9480487804878001E-2</v>
      </c>
      <c r="N63" s="6" t="s">
        <v>6</v>
      </c>
      <c r="O63" s="62"/>
      <c r="P63" s="64"/>
      <c r="Q63" s="8">
        <f t="shared" si="4"/>
        <v>42.707636921783013</v>
      </c>
      <c r="R63" s="8">
        <f t="shared" si="2"/>
        <v>0.9179310344827587</v>
      </c>
      <c r="S63" s="8">
        <f t="shared" si="3"/>
        <v>2.2709837678721594</v>
      </c>
    </row>
    <row r="64" spans="1:19" x14ac:dyDescent="0.25">
      <c r="A64" s="10" t="s">
        <v>85</v>
      </c>
      <c r="B64" s="1" t="s">
        <v>1</v>
      </c>
      <c r="C64" s="2">
        <v>2835</v>
      </c>
      <c r="D64" s="3" t="s">
        <v>82</v>
      </c>
      <c r="E64" s="2" t="s">
        <v>3</v>
      </c>
      <c r="F64" s="2" t="s">
        <v>4</v>
      </c>
      <c r="G64" s="2" t="s">
        <v>12</v>
      </c>
      <c r="H64" s="3">
        <v>70</v>
      </c>
      <c r="I64" s="4">
        <f t="shared" si="9"/>
        <v>0.76500000000000001</v>
      </c>
      <c r="J64" s="9">
        <v>0.23499999999999999</v>
      </c>
      <c r="K64" s="5">
        <f t="shared" si="8"/>
        <v>0.94299999999999995</v>
      </c>
      <c r="L64" s="9">
        <v>0.02</v>
      </c>
      <c r="M64" s="9">
        <v>3.6999999999999998E-2</v>
      </c>
      <c r="N64" s="6" t="s">
        <v>6</v>
      </c>
      <c r="O64" s="62"/>
      <c r="P64" s="64"/>
      <c r="Q64" s="8">
        <f t="shared" si="4"/>
        <v>35.05124836601307</v>
      </c>
      <c r="R64" s="8">
        <f t="shared" si="2"/>
        <v>0.74339869281045756</v>
      </c>
      <c r="S64" s="8">
        <f t="shared" si="3"/>
        <v>1.3752875816993464</v>
      </c>
    </row>
    <row r="65" spans="1:19" x14ac:dyDescent="0.25">
      <c r="A65" s="1" t="s">
        <v>86</v>
      </c>
      <c r="B65" s="1" t="s">
        <v>14</v>
      </c>
      <c r="C65" s="1">
        <v>3030</v>
      </c>
      <c r="D65" s="3" t="s">
        <v>82</v>
      </c>
      <c r="E65" s="1" t="s">
        <v>3</v>
      </c>
      <c r="F65" s="1" t="s">
        <v>4</v>
      </c>
      <c r="G65" s="1" t="s">
        <v>5</v>
      </c>
      <c r="H65" s="3">
        <v>70</v>
      </c>
      <c r="I65" s="11">
        <f t="shared" si="9"/>
        <v>0.63</v>
      </c>
      <c r="J65" s="12">
        <v>0.37</v>
      </c>
      <c r="K65" s="12">
        <f t="shared" si="8"/>
        <v>0.89304347826086961</v>
      </c>
      <c r="L65" s="13">
        <v>0.02</v>
      </c>
      <c r="M65" s="13">
        <v>8.6956521739130432E-2</v>
      </c>
      <c r="N65" s="6" t="s">
        <v>6</v>
      </c>
      <c r="O65" s="62"/>
      <c r="P65" s="64"/>
      <c r="Q65" s="8">
        <f t="shared" si="4"/>
        <v>63.462788129744652</v>
      </c>
      <c r="R65" s="8">
        <f t="shared" si="2"/>
        <v>1.4212698412698412</v>
      </c>
      <c r="S65" s="8">
        <f t="shared" si="3"/>
        <v>6.1794340924775701</v>
      </c>
    </row>
    <row r="66" spans="1:19" x14ac:dyDescent="0.25">
      <c r="A66" s="1" t="s">
        <v>87</v>
      </c>
      <c r="B66" s="1" t="s">
        <v>14</v>
      </c>
      <c r="C66" s="14">
        <v>3030</v>
      </c>
      <c r="D66" s="3" t="s">
        <v>82</v>
      </c>
      <c r="E66" s="14" t="s">
        <v>3</v>
      </c>
      <c r="F66" s="14" t="s">
        <v>4</v>
      </c>
      <c r="G66" s="14" t="s">
        <v>8</v>
      </c>
      <c r="H66" s="3">
        <v>70</v>
      </c>
      <c r="I66" s="15">
        <f>100%-J66</f>
        <v>0.62</v>
      </c>
      <c r="J66" s="16">
        <v>0.38</v>
      </c>
      <c r="K66" s="16">
        <f t="shared" si="8"/>
        <v>0.91500000000000004</v>
      </c>
      <c r="L66" s="17">
        <v>0.02</v>
      </c>
      <c r="M66" s="17">
        <v>6.5000000000000002E-2</v>
      </c>
      <c r="N66" s="18" t="s">
        <v>6</v>
      </c>
      <c r="O66" s="62"/>
      <c r="P66" s="64"/>
      <c r="Q66" s="8">
        <f t="shared" si="4"/>
        <v>67.857580645161292</v>
      </c>
      <c r="R66" s="8">
        <f t="shared" si="2"/>
        <v>1.4832258064516128</v>
      </c>
      <c r="S66" s="8">
        <f t="shared" si="3"/>
        <v>4.8204838709677418</v>
      </c>
    </row>
    <row r="67" spans="1:19" x14ac:dyDescent="0.25">
      <c r="A67" s="1" t="s">
        <v>88</v>
      </c>
      <c r="B67" s="1" t="s">
        <v>14</v>
      </c>
      <c r="C67" s="19">
        <v>3030</v>
      </c>
      <c r="D67" s="3" t="s">
        <v>82</v>
      </c>
      <c r="E67" s="19" t="s">
        <v>3</v>
      </c>
      <c r="F67" s="19" t="s">
        <v>4</v>
      </c>
      <c r="G67" s="19" t="s">
        <v>10</v>
      </c>
      <c r="H67" s="3">
        <v>70</v>
      </c>
      <c r="I67" s="20">
        <f t="shared" ref="I67:I73" si="10">100%-J67</f>
        <v>0.73</v>
      </c>
      <c r="J67" s="16">
        <v>0.27</v>
      </c>
      <c r="K67" s="21">
        <f t="shared" si="8"/>
        <v>0.92699999999999994</v>
      </c>
      <c r="L67" s="22">
        <v>0.02</v>
      </c>
      <c r="M67" s="22">
        <v>5.2999999999999999E-2</v>
      </c>
      <c r="N67" s="18" t="s">
        <v>6</v>
      </c>
      <c r="O67" s="62"/>
      <c r="P67" s="64"/>
      <c r="Q67" s="8">
        <f t="shared" si="4"/>
        <v>41.486424657534251</v>
      </c>
      <c r="R67" s="8">
        <f t="shared" si="2"/>
        <v>0.89506849315068504</v>
      </c>
      <c r="S67" s="8">
        <f t="shared" si="3"/>
        <v>2.3719315068493154</v>
      </c>
    </row>
    <row r="68" spans="1:19" x14ac:dyDescent="0.25">
      <c r="A68" s="1" t="s">
        <v>89</v>
      </c>
      <c r="B68" s="1" t="s">
        <v>14</v>
      </c>
      <c r="C68" s="2">
        <v>3030</v>
      </c>
      <c r="D68" s="3" t="s">
        <v>82</v>
      </c>
      <c r="E68" s="2" t="s">
        <v>3</v>
      </c>
      <c r="F68" s="2" t="s">
        <v>4</v>
      </c>
      <c r="G68" s="23" t="s">
        <v>12</v>
      </c>
      <c r="H68" s="3">
        <v>70</v>
      </c>
      <c r="I68" s="4">
        <f t="shared" si="10"/>
        <v>0.78500000000000003</v>
      </c>
      <c r="J68" s="9">
        <v>0.215</v>
      </c>
      <c r="K68" s="5">
        <f t="shared" si="8"/>
        <v>0.93652173913043479</v>
      </c>
      <c r="L68" s="24">
        <v>0.02</v>
      </c>
      <c r="M68" s="24">
        <v>4.3478260869565216E-2</v>
      </c>
      <c r="N68" s="6" t="s">
        <v>6</v>
      </c>
      <c r="O68" s="62"/>
      <c r="P68" s="64"/>
      <c r="Q68" s="8">
        <f t="shared" si="4"/>
        <v>31.036449736914985</v>
      </c>
      <c r="R68" s="8">
        <f t="shared" ref="R68:R114" si="11">($O$3+$P$3)/I68*J68*L68</f>
        <v>0.66280254777070069</v>
      </c>
      <c r="S68" s="8">
        <f t="shared" ref="S68:S114" si="12">($O$3+$P$3)/I68*J68*M68</f>
        <v>1.4408751038493492</v>
      </c>
    </row>
    <row r="69" spans="1:19" x14ac:dyDescent="0.25">
      <c r="A69" s="1" t="s">
        <v>90</v>
      </c>
      <c r="B69" s="1" t="s">
        <v>14</v>
      </c>
      <c r="C69" s="1">
        <v>3030</v>
      </c>
      <c r="D69" s="3" t="s">
        <v>82</v>
      </c>
      <c r="E69" s="1" t="s">
        <v>20</v>
      </c>
      <c r="F69" s="1" t="s">
        <v>21</v>
      </c>
      <c r="G69" s="1" t="s">
        <v>5</v>
      </c>
      <c r="H69" s="3">
        <v>70</v>
      </c>
      <c r="I69" s="11">
        <f t="shared" si="10"/>
        <v>0.51</v>
      </c>
      <c r="J69" s="12">
        <v>0.49</v>
      </c>
      <c r="K69" s="12">
        <f t="shared" si="8"/>
        <v>0.91333333333333333</v>
      </c>
      <c r="L69" s="12">
        <v>0.02</v>
      </c>
      <c r="M69" s="12">
        <v>6.6666666666666666E-2</v>
      </c>
      <c r="N69" s="6" t="s">
        <v>6</v>
      </c>
      <c r="O69" s="62"/>
      <c r="P69" s="64"/>
      <c r="Q69" s="8">
        <f t="shared" ref="Q69:Q114" si="13">($O$3+$P$3)/I69*J69*K69</f>
        <v>106.17947712418301</v>
      </c>
      <c r="R69" s="8">
        <f t="shared" si="11"/>
        <v>2.3250980392156864</v>
      </c>
      <c r="S69" s="8">
        <f t="shared" si="12"/>
        <v>7.7503267973856209</v>
      </c>
    </row>
    <row r="70" spans="1:19" x14ac:dyDescent="0.25">
      <c r="A70" s="1" t="s">
        <v>91</v>
      </c>
      <c r="B70" s="1" t="s">
        <v>14</v>
      </c>
      <c r="C70" s="3">
        <v>3030</v>
      </c>
      <c r="D70" s="3" t="s">
        <v>82</v>
      </c>
      <c r="E70" s="3" t="s">
        <v>20</v>
      </c>
      <c r="F70" s="3" t="s">
        <v>21</v>
      </c>
      <c r="G70" s="3" t="s">
        <v>8</v>
      </c>
      <c r="H70" s="3">
        <v>70</v>
      </c>
      <c r="I70" s="32">
        <f t="shared" si="10"/>
        <v>0.56000000000000005</v>
      </c>
      <c r="J70" s="33">
        <v>0.44</v>
      </c>
      <c r="K70" s="33">
        <f t="shared" si="8"/>
        <v>0.70350000000000001</v>
      </c>
      <c r="L70" s="33">
        <v>0.25</v>
      </c>
      <c r="M70" s="33">
        <v>4.65E-2</v>
      </c>
      <c r="N70" s="34" t="s">
        <v>6</v>
      </c>
      <c r="O70" s="62"/>
      <c r="P70" s="64"/>
      <c r="Q70" s="8">
        <f t="shared" si="13"/>
        <v>66.882750000000001</v>
      </c>
      <c r="R70" s="8">
        <f t="shared" si="11"/>
        <v>23.767857142857142</v>
      </c>
      <c r="S70" s="8">
        <f t="shared" si="12"/>
        <v>4.4208214285714282</v>
      </c>
    </row>
    <row r="71" spans="1:19" x14ac:dyDescent="0.25">
      <c r="A71" s="1" t="s">
        <v>92</v>
      </c>
      <c r="B71" s="1" t="s">
        <v>14</v>
      </c>
      <c r="C71" s="3">
        <v>3030</v>
      </c>
      <c r="D71" s="3" t="s">
        <v>82</v>
      </c>
      <c r="E71" s="3" t="s">
        <v>20</v>
      </c>
      <c r="F71" s="3" t="s">
        <v>21</v>
      </c>
      <c r="G71" s="3" t="s">
        <v>10</v>
      </c>
      <c r="H71" s="3">
        <v>70</v>
      </c>
      <c r="I71" s="32">
        <f t="shared" si="10"/>
        <v>0.63</v>
      </c>
      <c r="J71" s="35">
        <v>0.37</v>
      </c>
      <c r="K71" s="33">
        <f t="shared" si="8"/>
        <v>0.72</v>
      </c>
      <c r="L71" s="33">
        <v>0.25</v>
      </c>
      <c r="M71" s="33">
        <v>0.03</v>
      </c>
      <c r="N71" s="34" t="s">
        <v>6</v>
      </c>
      <c r="O71" s="62"/>
      <c r="P71" s="64"/>
      <c r="Q71" s="8">
        <f t="shared" si="13"/>
        <v>51.16571428571428</v>
      </c>
      <c r="R71" s="8">
        <f t="shared" si="11"/>
        <v>17.765873015873016</v>
      </c>
      <c r="S71" s="8">
        <f t="shared" si="12"/>
        <v>2.131904761904762</v>
      </c>
    </row>
    <row r="72" spans="1:19" x14ac:dyDescent="0.25">
      <c r="A72" s="10" t="s">
        <v>93</v>
      </c>
      <c r="B72" s="1" t="s">
        <v>14</v>
      </c>
      <c r="C72" s="3">
        <v>3030</v>
      </c>
      <c r="D72" s="3" t="s">
        <v>82</v>
      </c>
      <c r="E72" s="3" t="s">
        <v>20</v>
      </c>
      <c r="F72" s="3" t="s">
        <v>21</v>
      </c>
      <c r="G72" s="3" t="s">
        <v>12</v>
      </c>
      <c r="H72" s="3">
        <v>70</v>
      </c>
      <c r="I72" s="32">
        <f t="shared" si="10"/>
        <v>0.71199999999999997</v>
      </c>
      <c r="J72" s="33">
        <v>0.28799999999999998</v>
      </c>
      <c r="K72" s="33">
        <f t="shared" si="8"/>
        <v>0.68299999999999994</v>
      </c>
      <c r="L72" s="33">
        <v>0.3</v>
      </c>
      <c r="M72" s="35">
        <v>1.7000000000000001E-2</v>
      </c>
      <c r="N72" s="34" t="s">
        <v>6</v>
      </c>
      <c r="O72" s="62"/>
      <c r="P72" s="64"/>
      <c r="Q72" s="8">
        <f t="shared" si="13"/>
        <v>33.428629213483141</v>
      </c>
      <c r="R72" s="8">
        <f t="shared" si="11"/>
        <v>14.683146067415729</v>
      </c>
      <c r="S72" s="8">
        <f t="shared" si="12"/>
        <v>0.83204494382022476</v>
      </c>
    </row>
    <row r="73" spans="1:19" x14ac:dyDescent="0.25">
      <c r="A73" s="26" t="s">
        <v>94</v>
      </c>
      <c r="B73" s="1" t="s">
        <v>14</v>
      </c>
      <c r="C73" s="1">
        <v>5050</v>
      </c>
      <c r="D73" s="3" t="s">
        <v>82</v>
      </c>
      <c r="E73" s="1" t="s">
        <v>27</v>
      </c>
      <c r="F73" s="1" t="s">
        <v>28</v>
      </c>
      <c r="G73" s="1" t="s">
        <v>5</v>
      </c>
      <c r="H73" s="3">
        <v>70</v>
      </c>
      <c r="I73" s="11">
        <f t="shared" si="10"/>
        <v>0.65</v>
      </c>
      <c r="J73" s="12">
        <v>0.35</v>
      </c>
      <c r="K73" s="12">
        <f>100%-L73-M73</f>
        <v>0.89500000000000002</v>
      </c>
      <c r="L73" s="13">
        <v>0.02</v>
      </c>
      <c r="M73" s="13">
        <v>8.5000000000000006E-2</v>
      </c>
      <c r="N73" s="6" t="s">
        <v>6</v>
      </c>
      <c r="O73" s="62"/>
      <c r="P73" s="64"/>
      <c r="Q73" s="8">
        <f t="shared" si="13"/>
        <v>58.312692307692302</v>
      </c>
      <c r="R73" s="8">
        <f t="shared" si="11"/>
        <v>1.303076923076923</v>
      </c>
      <c r="S73" s="8">
        <f t="shared" si="12"/>
        <v>5.5380769230769227</v>
      </c>
    </row>
    <row r="74" spans="1:19" x14ac:dyDescent="0.25">
      <c r="A74" s="26" t="s">
        <v>95</v>
      </c>
      <c r="B74" s="1" t="s">
        <v>14</v>
      </c>
      <c r="C74" s="1">
        <v>5050</v>
      </c>
      <c r="D74" s="3" t="s">
        <v>82</v>
      </c>
      <c r="E74" s="1" t="s">
        <v>27</v>
      </c>
      <c r="F74" s="1" t="s">
        <v>28</v>
      </c>
      <c r="G74" s="1" t="s">
        <v>8</v>
      </c>
      <c r="H74" s="3">
        <v>70</v>
      </c>
      <c r="I74" s="11">
        <f>100%-J74</f>
        <v>0.68599999999999994</v>
      </c>
      <c r="J74" s="12">
        <v>0.314</v>
      </c>
      <c r="K74" s="12">
        <f t="shared" ref="K74:K82" si="14">100%-L74-M74</f>
        <v>0.90700000000000003</v>
      </c>
      <c r="L74" s="13">
        <v>0.02</v>
      </c>
      <c r="M74" s="13">
        <v>7.2999999999999995E-2</v>
      </c>
      <c r="N74" s="6" t="s">
        <v>6</v>
      </c>
      <c r="O74" s="62"/>
      <c r="P74" s="64"/>
      <c r="Q74" s="8">
        <f t="shared" si="13"/>
        <v>50.234049562682216</v>
      </c>
      <c r="R74" s="8">
        <f t="shared" si="11"/>
        <v>1.1076967930029153</v>
      </c>
      <c r="S74" s="8">
        <f t="shared" si="12"/>
        <v>4.0430932944606415</v>
      </c>
    </row>
    <row r="75" spans="1:19" x14ac:dyDescent="0.25">
      <c r="A75" s="26" t="s">
        <v>96</v>
      </c>
      <c r="B75" s="1" t="s">
        <v>14</v>
      </c>
      <c r="C75" s="2">
        <v>5050</v>
      </c>
      <c r="D75" s="3" t="s">
        <v>82</v>
      </c>
      <c r="E75" s="2" t="s">
        <v>27</v>
      </c>
      <c r="F75" s="2" t="s">
        <v>28</v>
      </c>
      <c r="G75" s="2" t="s">
        <v>10</v>
      </c>
      <c r="H75" s="3">
        <v>70</v>
      </c>
      <c r="I75" s="4">
        <f>100%-J75</f>
        <v>0.77</v>
      </c>
      <c r="J75" s="9">
        <v>0.23</v>
      </c>
      <c r="K75" s="5">
        <f t="shared" si="14"/>
        <v>0.92399999999999993</v>
      </c>
      <c r="L75" s="24">
        <v>0.02</v>
      </c>
      <c r="M75" s="24">
        <v>5.6000000000000001E-2</v>
      </c>
      <c r="N75" s="6" t="s">
        <v>6</v>
      </c>
      <c r="O75" s="62"/>
      <c r="P75" s="64"/>
      <c r="Q75" s="8">
        <f t="shared" si="13"/>
        <v>33.396000000000001</v>
      </c>
      <c r="R75" s="8">
        <f t="shared" si="11"/>
        <v>0.72285714285714298</v>
      </c>
      <c r="S75" s="8">
        <f t="shared" si="12"/>
        <v>2.024</v>
      </c>
    </row>
    <row r="76" spans="1:19" x14ac:dyDescent="0.25">
      <c r="A76" s="26" t="s">
        <v>97</v>
      </c>
      <c r="B76" s="1" t="s">
        <v>14</v>
      </c>
      <c r="C76" s="27">
        <v>5050</v>
      </c>
      <c r="D76" s="3" t="s">
        <v>82</v>
      </c>
      <c r="E76" s="27" t="s">
        <v>27</v>
      </c>
      <c r="F76" s="27" t="s">
        <v>28</v>
      </c>
      <c r="G76" s="27" t="s">
        <v>12</v>
      </c>
      <c r="H76" s="3">
        <v>70</v>
      </c>
      <c r="I76" s="28">
        <f>100%-J76</f>
        <v>0.81600000000000006</v>
      </c>
      <c r="J76" s="29">
        <v>0.184</v>
      </c>
      <c r="K76" s="29">
        <f t="shared" si="14"/>
        <v>0.93499999999999994</v>
      </c>
      <c r="L76" s="30">
        <v>0.02</v>
      </c>
      <c r="M76" s="30">
        <v>4.4999999999999998E-2</v>
      </c>
      <c r="N76" s="31" t="s">
        <v>6</v>
      </c>
      <c r="O76" s="62"/>
      <c r="P76" s="64"/>
      <c r="Q76" s="8">
        <f t="shared" si="13"/>
        <v>25.510833333333334</v>
      </c>
      <c r="R76" s="8">
        <f t="shared" si="11"/>
        <v>0.545686274509804</v>
      </c>
      <c r="S76" s="8">
        <f t="shared" si="12"/>
        <v>1.2277941176470588</v>
      </c>
    </row>
    <row r="77" spans="1:19" x14ac:dyDescent="0.25">
      <c r="A77" s="26" t="s">
        <v>98</v>
      </c>
      <c r="B77" s="1" t="s">
        <v>14</v>
      </c>
      <c r="C77" s="3">
        <v>5050</v>
      </c>
      <c r="D77" s="3" t="s">
        <v>82</v>
      </c>
      <c r="E77" s="3" t="s">
        <v>33</v>
      </c>
      <c r="F77" s="3" t="s">
        <v>34</v>
      </c>
      <c r="G77" s="3" t="s">
        <v>5</v>
      </c>
      <c r="H77" s="3">
        <v>70</v>
      </c>
      <c r="I77" s="32">
        <f t="shared" ref="I77:I84" si="15">100%-J77</f>
        <v>0.55000000000000004</v>
      </c>
      <c r="J77" s="33">
        <v>0.45</v>
      </c>
      <c r="K77" s="33">
        <f t="shared" si="14"/>
        <v>0.91749999999999998</v>
      </c>
      <c r="L77" s="33">
        <v>0.02</v>
      </c>
      <c r="M77" s="33">
        <v>6.25E-2</v>
      </c>
      <c r="N77" s="34" t="s">
        <v>6</v>
      </c>
      <c r="O77" s="62"/>
      <c r="P77" s="64"/>
      <c r="Q77" s="8">
        <f t="shared" si="13"/>
        <v>90.832499999999982</v>
      </c>
      <c r="R77" s="8">
        <f t="shared" si="11"/>
        <v>1.9799999999999998</v>
      </c>
      <c r="S77" s="8">
        <f t="shared" si="12"/>
        <v>6.1874999999999991</v>
      </c>
    </row>
    <row r="78" spans="1:19" x14ac:dyDescent="0.25">
      <c r="A78" s="26" t="s">
        <v>99</v>
      </c>
      <c r="B78" s="1" t="s">
        <v>14</v>
      </c>
      <c r="C78" s="3">
        <v>5050</v>
      </c>
      <c r="D78" s="3" t="s">
        <v>82</v>
      </c>
      <c r="E78" s="3" t="s">
        <v>33</v>
      </c>
      <c r="F78" s="3" t="s">
        <v>36</v>
      </c>
      <c r="G78" s="3" t="s">
        <v>5</v>
      </c>
      <c r="H78" s="3">
        <v>70</v>
      </c>
      <c r="I78" s="32">
        <f t="shared" si="15"/>
        <v>0.55000000000000004</v>
      </c>
      <c r="J78" s="33">
        <v>0.45</v>
      </c>
      <c r="K78" s="33">
        <f t="shared" si="14"/>
        <v>0.91749999999999998</v>
      </c>
      <c r="L78" s="33">
        <v>0.02</v>
      </c>
      <c r="M78" s="33">
        <v>6.25E-2</v>
      </c>
      <c r="N78" s="34" t="s">
        <v>6</v>
      </c>
      <c r="O78" s="62"/>
      <c r="P78" s="64"/>
      <c r="Q78" s="8">
        <f t="shared" si="13"/>
        <v>90.832499999999982</v>
      </c>
      <c r="R78" s="8">
        <f t="shared" si="11"/>
        <v>1.9799999999999998</v>
      </c>
      <c r="S78" s="8">
        <f t="shared" si="12"/>
        <v>6.1874999999999991</v>
      </c>
    </row>
    <row r="79" spans="1:19" x14ac:dyDescent="0.25">
      <c r="A79" s="26" t="s">
        <v>100</v>
      </c>
      <c r="B79" s="1" t="s">
        <v>14</v>
      </c>
      <c r="C79" s="2">
        <v>5050</v>
      </c>
      <c r="D79" s="3" t="s">
        <v>82</v>
      </c>
      <c r="E79" s="2" t="s">
        <v>33</v>
      </c>
      <c r="F79" s="2" t="s">
        <v>34</v>
      </c>
      <c r="G79" s="2" t="s">
        <v>8</v>
      </c>
      <c r="H79" s="3">
        <v>70</v>
      </c>
      <c r="I79" s="4">
        <f t="shared" si="15"/>
        <v>0.57000000000000006</v>
      </c>
      <c r="J79" s="5">
        <v>0.43</v>
      </c>
      <c r="K79" s="5">
        <f t="shared" si="14"/>
        <v>0.92620000000000002</v>
      </c>
      <c r="L79" s="5">
        <v>1.9999999999999997E-2</v>
      </c>
      <c r="M79" s="5">
        <v>5.3800000000000001E-2</v>
      </c>
      <c r="N79" s="6" t="s">
        <v>6</v>
      </c>
      <c r="O79" s="62"/>
      <c r="P79" s="64"/>
      <c r="Q79" s="8">
        <f t="shared" si="13"/>
        <v>84.544185964912273</v>
      </c>
      <c r="R79" s="8">
        <f t="shared" si="11"/>
        <v>1.8256140350877188</v>
      </c>
      <c r="S79" s="8">
        <f t="shared" si="12"/>
        <v>4.9109017543859643</v>
      </c>
    </row>
    <row r="80" spans="1:19" x14ac:dyDescent="0.25">
      <c r="A80" s="26" t="s">
        <v>101</v>
      </c>
      <c r="B80" s="1" t="s">
        <v>14</v>
      </c>
      <c r="C80" s="2">
        <v>5050</v>
      </c>
      <c r="D80" s="3" t="s">
        <v>82</v>
      </c>
      <c r="E80" s="2" t="s">
        <v>33</v>
      </c>
      <c r="F80" s="2" t="s">
        <v>36</v>
      </c>
      <c r="G80" s="2" t="s">
        <v>8</v>
      </c>
      <c r="H80" s="3">
        <v>70</v>
      </c>
      <c r="I80" s="4">
        <f t="shared" si="15"/>
        <v>0.56499999999999995</v>
      </c>
      <c r="J80" s="5">
        <v>0.435</v>
      </c>
      <c r="K80" s="5">
        <f t="shared" si="14"/>
        <v>0.65499999999999992</v>
      </c>
      <c r="L80" s="5">
        <v>0.3</v>
      </c>
      <c r="M80" s="5">
        <v>4.4999999999999998E-2</v>
      </c>
      <c r="N80" s="6" t="s">
        <v>6</v>
      </c>
      <c r="O80" s="62"/>
      <c r="P80" s="64"/>
      <c r="Q80" s="8">
        <f t="shared" si="13"/>
        <v>61.019336283185837</v>
      </c>
      <c r="R80" s="8">
        <f t="shared" si="11"/>
        <v>27.947787610619471</v>
      </c>
      <c r="S80" s="8">
        <f t="shared" si="12"/>
        <v>4.1921681415929202</v>
      </c>
    </row>
    <row r="81" spans="1:19" x14ac:dyDescent="0.25">
      <c r="A81" s="26" t="s">
        <v>102</v>
      </c>
      <c r="B81" s="1" t="s">
        <v>14</v>
      </c>
      <c r="C81" s="3">
        <v>5050</v>
      </c>
      <c r="D81" s="3" t="s">
        <v>82</v>
      </c>
      <c r="E81" s="3" t="s">
        <v>33</v>
      </c>
      <c r="F81" s="3" t="s">
        <v>34</v>
      </c>
      <c r="G81" s="3" t="s">
        <v>10</v>
      </c>
      <c r="H81" s="3">
        <v>70</v>
      </c>
      <c r="I81" s="32">
        <f t="shared" si="15"/>
        <v>0.7</v>
      </c>
      <c r="J81" s="35">
        <v>0.3</v>
      </c>
      <c r="K81" s="33">
        <f t="shared" si="14"/>
        <v>0.93555555555555558</v>
      </c>
      <c r="L81" s="35">
        <v>0.02</v>
      </c>
      <c r="M81" s="35">
        <v>4.4444444444444446E-2</v>
      </c>
      <c r="N81" s="34" t="s">
        <v>6</v>
      </c>
      <c r="O81" s="62"/>
      <c r="P81" s="64"/>
      <c r="Q81" s="8">
        <f t="shared" si="13"/>
        <v>48.515238095238097</v>
      </c>
      <c r="R81" s="8">
        <f t="shared" si="11"/>
        <v>1.0371428571428571</v>
      </c>
      <c r="S81" s="8">
        <f t="shared" si="12"/>
        <v>2.3047619047619046</v>
      </c>
    </row>
    <row r="82" spans="1:19" x14ac:dyDescent="0.25">
      <c r="A82" s="26" t="s">
        <v>103</v>
      </c>
      <c r="B82" s="1" t="s">
        <v>14</v>
      </c>
      <c r="C82" s="3">
        <v>5050</v>
      </c>
      <c r="D82" s="3" t="s">
        <v>82</v>
      </c>
      <c r="E82" s="3" t="s">
        <v>33</v>
      </c>
      <c r="F82" s="3" t="s">
        <v>36</v>
      </c>
      <c r="G82" s="3" t="s">
        <v>10</v>
      </c>
      <c r="H82" s="3">
        <v>70</v>
      </c>
      <c r="I82" s="32">
        <f t="shared" si="15"/>
        <v>0.69500000000000006</v>
      </c>
      <c r="J82" s="35">
        <v>0.30499999999999999</v>
      </c>
      <c r="K82" s="33">
        <f t="shared" si="14"/>
        <v>0.66499999999999992</v>
      </c>
      <c r="L82" s="35">
        <v>0.3</v>
      </c>
      <c r="M82" s="35">
        <v>3.5000000000000003E-2</v>
      </c>
      <c r="N82" s="34" t="s">
        <v>24</v>
      </c>
      <c r="O82" s="62"/>
      <c r="P82" s="64"/>
      <c r="Q82" s="8">
        <f t="shared" si="13"/>
        <v>35.311978417266175</v>
      </c>
      <c r="R82" s="8">
        <f t="shared" si="11"/>
        <v>15.930215827338126</v>
      </c>
      <c r="S82" s="8">
        <f t="shared" si="12"/>
        <v>1.8585251798561149</v>
      </c>
    </row>
    <row r="83" spans="1:19" x14ac:dyDescent="0.25">
      <c r="A83" s="26" t="s">
        <v>104</v>
      </c>
      <c r="B83" s="1" t="s">
        <v>14</v>
      </c>
      <c r="C83" s="2">
        <v>5050</v>
      </c>
      <c r="D83" s="3" t="s">
        <v>82</v>
      </c>
      <c r="E83" s="2" t="s">
        <v>33</v>
      </c>
      <c r="F83" s="2" t="s">
        <v>36</v>
      </c>
      <c r="G83" s="2" t="s">
        <v>12</v>
      </c>
      <c r="H83" s="3">
        <v>70</v>
      </c>
      <c r="I83" s="4">
        <f t="shared" si="15"/>
        <v>0.745</v>
      </c>
      <c r="J83" s="5">
        <v>0.255</v>
      </c>
      <c r="K83" s="5">
        <f>100%-L83-M83</f>
        <v>0.77300000000000002</v>
      </c>
      <c r="L83" s="9">
        <v>0.2</v>
      </c>
      <c r="M83" s="9">
        <v>2.7E-2</v>
      </c>
      <c r="N83" s="6" t="s">
        <v>24</v>
      </c>
      <c r="O83" s="62"/>
      <c r="P83" s="64"/>
      <c r="Q83" s="8">
        <f t="shared" si="13"/>
        <v>32.014651006711411</v>
      </c>
      <c r="R83" s="8">
        <f t="shared" si="11"/>
        <v>8.283221476510068</v>
      </c>
      <c r="S83" s="8">
        <f t="shared" si="12"/>
        <v>1.1182348993288591</v>
      </c>
    </row>
    <row r="84" spans="1:19" x14ac:dyDescent="0.25">
      <c r="A84" s="26" t="s">
        <v>105</v>
      </c>
      <c r="B84" s="1" t="s">
        <v>14</v>
      </c>
      <c r="C84" s="2">
        <v>5050</v>
      </c>
      <c r="D84" s="3" t="s">
        <v>82</v>
      </c>
      <c r="E84" s="2" t="s">
        <v>33</v>
      </c>
      <c r="F84" s="2" t="s">
        <v>34</v>
      </c>
      <c r="G84" s="2" t="s">
        <v>12</v>
      </c>
      <c r="H84" s="3">
        <v>70</v>
      </c>
      <c r="I84" s="4">
        <f t="shared" si="15"/>
        <v>0.68500000000000005</v>
      </c>
      <c r="J84" s="5">
        <v>0.315</v>
      </c>
      <c r="K84" s="5">
        <f>100%-L84-M84</f>
        <v>0.72799999999999998</v>
      </c>
      <c r="L84" s="9">
        <v>0.25</v>
      </c>
      <c r="M84" s="9">
        <v>2.1999999999999999E-2</v>
      </c>
      <c r="N84" s="6" t="s">
        <v>6</v>
      </c>
      <c r="O84" s="62"/>
      <c r="P84" s="64"/>
      <c r="Q84" s="8">
        <f t="shared" si="13"/>
        <v>40.507620437956199</v>
      </c>
      <c r="R84" s="8">
        <f t="shared" si="11"/>
        <v>13.910583941605838</v>
      </c>
      <c r="S84" s="8">
        <f t="shared" si="12"/>
        <v>1.2241313868613137</v>
      </c>
    </row>
    <row r="85" spans="1:19" x14ac:dyDescent="0.25">
      <c r="A85" s="1" t="s">
        <v>106</v>
      </c>
      <c r="B85" s="1" t="s">
        <v>1</v>
      </c>
      <c r="C85" s="2">
        <v>2835</v>
      </c>
      <c r="D85" s="3" t="s">
        <v>82</v>
      </c>
      <c r="E85" s="2" t="s">
        <v>3</v>
      </c>
      <c r="F85" s="2" t="s">
        <v>4</v>
      </c>
      <c r="G85" s="2" t="s">
        <v>5</v>
      </c>
      <c r="H85" s="3">
        <v>80</v>
      </c>
      <c r="I85" s="4">
        <v>0.5</v>
      </c>
      <c r="J85" s="5">
        <v>0.45</v>
      </c>
      <c r="K85" s="5">
        <f t="shared" ref="K85:K96" si="16">100%-L85-M85</f>
        <v>0.89549999999999996</v>
      </c>
      <c r="L85" s="5">
        <v>0.05</v>
      </c>
      <c r="M85" s="5">
        <v>5.45E-2</v>
      </c>
      <c r="N85" s="6" t="s">
        <v>6</v>
      </c>
      <c r="O85" s="62"/>
      <c r="P85" s="64"/>
      <c r="Q85" s="8">
        <f t="shared" si="13"/>
        <v>97.519949999999994</v>
      </c>
      <c r="R85" s="8">
        <f t="shared" si="11"/>
        <v>5.4450000000000003</v>
      </c>
      <c r="S85" s="8">
        <f t="shared" si="12"/>
        <v>5.9350500000000004</v>
      </c>
    </row>
    <row r="86" spans="1:19" x14ac:dyDescent="0.25">
      <c r="A86" s="1" t="s">
        <v>107</v>
      </c>
      <c r="B86" s="1" t="s">
        <v>1</v>
      </c>
      <c r="C86" s="2">
        <v>2835</v>
      </c>
      <c r="D86" s="3" t="s">
        <v>82</v>
      </c>
      <c r="E86" s="2" t="s">
        <v>3</v>
      </c>
      <c r="F86" s="2" t="s">
        <v>4</v>
      </c>
      <c r="G86" s="2" t="s">
        <v>8</v>
      </c>
      <c r="H86" s="3">
        <v>80</v>
      </c>
      <c r="I86" s="4">
        <f>100%-J86</f>
        <v>0.59000000000000008</v>
      </c>
      <c r="J86" s="5">
        <v>0.41</v>
      </c>
      <c r="K86" s="5">
        <f t="shared" si="16"/>
        <v>0.92449999999999999</v>
      </c>
      <c r="L86" s="5">
        <v>0.02</v>
      </c>
      <c r="M86" s="5">
        <v>5.5500000000000001E-2</v>
      </c>
      <c r="N86" s="6" t="s">
        <v>6</v>
      </c>
      <c r="O86" s="62"/>
      <c r="P86" s="64"/>
      <c r="Q86" s="8">
        <f t="shared" si="13"/>
        <v>77.736347457627105</v>
      </c>
      <c r="R86" s="8">
        <f t="shared" si="11"/>
        <v>1.6816949152542371</v>
      </c>
      <c r="S86" s="8">
        <f t="shared" si="12"/>
        <v>4.6667033898305075</v>
      </c>
    </row>
    <row r="87" spans="1:19" x14ac:dyDescent="0.25">
      <c r="A87" s="1" t="s">
        <v>108</v>
      </c>
      <c r="B87" s="1" t="s">
        <v>1</v>
      </c>
      <c r="C87" s="2">
        <v>2835</v>
      </c>
      <c r="D87" s="3" t="s">
        <v>82</v>
      </c>
      <c r="E87" s="2" t="s">
        <v>3</v>
      </c>
      <c r="F87" s="2" t="s">
        <v>4</v>
      </c>
      <c r="G87" s="2" t="s">
        <v>10</v>
      </c>
      <c r="H87" s="3">
        <v>80</v>
      </c>
      <c r="I87" s="4">
        <f t="shared" ref="I87:I89" si="17">100%-J87</f>
        <v>0.64</v>
      </c>
      <c r="J87" s="9">
        <v>0.36</v>
      </c>
      <c r="K87" s="5">
        <f t="shared" si="16"/>
        <v>0.90199999999999991</v>
      </c>
      <c r="L87" s="9">
        <v>5.7000000000000002E-2</v>
      </c>
      <c r="M87" s="9">
        <v>4.1000000000000002E-2</v>
      </c>
      <c r="N87" s="6" t="s">
        <v>6</v>
      </c>
      <c r="O87" s="62"/>
      <c r="P87" s="64"/>
      <c r="Q87" s="8">
        <f t="shared" si="13"/>
        <v>61.392374999999994</v>
      </c>
      <c r="R87" s="8">
        <f t="shared" si="11"/>
        <v>3.8795625</v>
      </c>
      <c r="S87" s="8">
        <f t="shared" si="12"/>
        <v>2.7905625000000001</v>
      </c>
    </row>
    <row r="88" spans="1:19" x14ac:dyDescent="0.25">
      <c r="A88" s="10" t="s">
        <v>109</v>
      </c>
      <c r="B88" s="1" t="s">
        <v>1</v>
      </c>
      <c r="C88" s="2">
        <v>2835</v>
      </c>
      <c r="D88" s="3" t="s">
        <v>82</v>
      </c>
      <c r="E88" s="2" t="s">
        <v>3</v>
      </c>
      <c r="F88" s="2" t="s">
        <v>4</v>
      </c>
      <c r="G88" s="2" t="s">
        <v>12</v>
      </c>
      <c r="H88" s="3">
        <v>80</v>
      </c>
      <c r="I88" s="4">
        <f t="shared" si="17"/>
        <v>0.76500000000000001</v>
      </c>
      <c r="J88" s="9">
        <v>0.23499999999999999</v>
      </c>
      <c r="K88" s="5">
        <f t="shared" si="16"/>
        <v>0.94299999999999995</v>
      </c>
      <c r="L88" s="9">
        <v>0.02</v>
      </c>
      <c r="M88" s="9">
        <v>3.6999999999999998E-2</v>
      </c>
      <c r="N88" s="6" t="s">
        <v>6</v>
      </c>
      <c r="O88" s="62"/>
      <c r="P88" s="64"/>
      <c r="Q88" s="8">
        <f t="shared" si="13"/>
        <v>35.05124836601307</v>
      </c>
      <c r="R88" s="8">
        <f t="shared" si="11"/>
        <v>0.74339869281045756</v>
      </c>
      <c r="S88" s="8">
        <f t="shared" si="12"/>
        <v>1.3752875816993464</v>
      </c>
    </row>
    <row r="89" spans="1:19" x14ac:dyDescent="0.25">
      <c r="A89" s="1" t="s">
        <v>110</v>
      </c>
      <c r="B89" s="1" t="s">
        <v>14</v>
      </c>
      <c r="C89" s="1">
        <v>3030</v>
      </c>
      <c r="D89" s="3" t="s">
        <v>82</v>
      </c>
      <c r="E89" s="1" t="s">
        <v>3</v>
      </c>
      <c r="F89" s="1" t="s">
        <v>4</v>
      </c>
      <c r="G89" s="1" t="s">
        <v>5</v>
      </c>
      <c r="H89" s="3">
        <v>80</v>
      </c>
      <c r="I89" s="11">
        <f t="shared" si="17"/>
        <v>0.63</v>
      </c>
      <c r="J89" s="12">
        <v>0.37</v>
      </c>
      <c r="K89" s="12">
        <f t="shared" si="16"/>
        <v>0.89304347826086961</v>
      </c>
      <c r="L89" s="13">
        <v>0.02</v>
      </c>
      <c r="M89" s="13">
        <v>8.6956521739130432E-2</v>
      </c>
      <c r="N89" s="6" t="s">
        <v>6</v>
      </c>
      <c r="O89" s="62"/>
      <c r="P89" s="64"/>
      <c r="Q89" s="8">
        <f t="shared" si="13"/>
        <v>63.462788129744652</v>
      </c>
      <c r="R89" s="8">
        <f t="shared" si="11"/>
        <v>1.4212698412698412</v>
      </c>
      <c r="S89" s="8">
        <f t="shared" si="12"/>
        <v>6.1794340924775701</v>
      </c>
    </row>
    <row r="90" spans="1:19" x14ac:dyDescent="0.25">
      <c r="A90" s="1" t="s">
        <v>111</v>
      </c>
      <c r="B90" s="1" t="s">
        <v>14</v>
      </c>
      <c r="C90" s="14">
        <v>3030</v>
      </c>
      <c r="D90" s="3" t="s">
        <v>82</v>
      </c>
      <c r="E90" s="14" t="s">
        <v>3</v>
      </c>
      <c r="F90" s="14" t="s">
        <v>4</v>
      </c>
      <c r="G90" s="14" t="s">
        <v>8</v>
      </c>
      <c r="H90" s="3">
        <v>80</v>
      </c>
      <c r="I90" s="15">
        <f>100%-J90</f>
        <v>0.62</v>
      </c>
      <c r="J90" s="16">
        <v>0.38</v>
      </c>
      <c r="K90" s="16">
        <f t="shared" si="16"/>
        <v>0.91500000000000004</v>
      </c>
      <c r="L90" s="17">
        <v>0.02</v>
      </c>
      <c r="M90" s="17">
        <v>6.5000000000000002E-2</v>
      </c>
      <c r="N90" s="18" t="s">
        <v>6</v>
      </c>
      <c r="O90" s="62"/>
      <c r="P90" s="64"/>
      <c r="Q90" s="8">
        <f t="shared" si="13"/>
        <v>67.857580645161292</v>
      </c>
      <c r="R90" s="8">
        <f t="shared" si="11"/>
        <v>1.4832258064516128</v>
      </c>
      <c r="S90" s="8">
        <f t="shared" si="12"/>
        <v>4.8204838709677418</v>
      </c>
    </row>
    <row r="91" spans="1:19" x14ac:dyDescent="0.25">
      <c r="A91" s="1" t="s">
        <v>112</v>
      </c>
      <c r="B91" s="1" t="s">
        <v>14</v>
      </c>
      <c r="C91" s="19">
        <v>3030</v>
      </c>
      <c r="D91" s="3" t="s">
        <v>82</v>
      </c>
      <c r="E91" s="19" t="s">
        <v>3</v>
      </c>
      <c r="F91" s="19" t="s">
        <v>4</v>
      </c>
      <c r="G91" s="19" t="s">
        <v>10</v>
      </c>
      <c r="H91" s="3">
        <v>80</v>
      </c>
      <c r="I91" s="20">
        <f t="shared" ref="I91:I97" si="18">100%-J91</f>
        <v>0.73</v>
      </c>
      <c r="J91" s="16">
        <v>0.27</v>
      </c>
      <c r="K91" s="21">
        <f t="shared" si="16"/>
        <v>0.92699999999999994</v>
      </c>
      <c r="L91" s="22">
        <v>0.02</v>
      </c>
      <c r="M91" s="22">
        <v>5.2999999999999999E-2</v>
      </c>
      <c r="N91" s="18" t="s">
        <v>6</v>
      </c>
      <c r="O91" s="62"/>
      <c r="P91" s="64"/>
      <c r="Q91" s="8">
        <f t="shared" si="13"/>
        <v>41.486424657534251</v>
      </c>
      <c r="R91" s="8">
        <f t="shared" si="11"/>
        <v>0.89506849315068504</v>
      </c>
      <c r="S91" s="8">
        <f t="shared" si="12"/>
        <v>2.3719315068493154</v>
      </c>
    </row>
    <row r="92" spans="1:19" x14ac:dyDescent="0.25">
      <c r="A92" s="1" t="s">
        <v>113</v>
      </c>
      <c r="B92" s="1" t="s">
        <v>14</v>
      </c>
      <c r="C92" s="2">
        <v>3030</v>
      </c>
      <c r="D92" s="3" t="s">
        <v>82</v>
      </c>
      <c r="E92" s="2" t="s">
        <v>3</v>
      </c>
      <c r="F92" s="2" t="s">
        <v>4</v>
      </c>
      <c r="G92" s="23" t="s">
        <v>12</v>
      </c>
      <c r="H92" s="3">
        <v>80</v>
      </c>
      <c r="I92" s="4">
        <f t="shared" si="18"/>
        <v>0.78500000000000003</v>
      </c>
      <c r="J92" s="9">
        <v>0.215</v>
      </c>
      <c r="K92" s="5">
        <f t="shared" si="16"/>
        <v>0.93652173913043479</v>
      </c>
      <c r="L92" s="24">
        <v>0.02</v>
      </c>
      <c r="M92" s="24">
        <v>4.3478260869565216E-2</v>
      </c>
      <c r="N92" s="6" t="s">
        <v>6</v>
      </c>
      <c r="O92" s="62"/>
      <c r="P92" s="64"/>
      <c r="Q92" s="8">
        <f t="shared" si="13"/>
        <v>31.036449736914985</v>
      </c>
      <c r="R92" s="8">
        <f t="shared" si="11"/>
        <v>0.66280254777070069</v>
      </c>
      <c r="S92" s="8">
        <f t="shared" si="12"/>
        <v>1.4408751038493492</v>
      </c>
    </row>
    <row r="93" spans="1:19" x14ac:dyDescent="0.25">
      <c r="A93" s="1" t="s">
        <v>114</v>
      </c>
      <c r="B93" s="1" t="s">
        <v>14</v>
      </c>
      <c r="C93" s="1">
        <v>3030</v>
      </c>
      <c r="D93" s="3" t="s">
        <v>82</v>
      </c>
      <c r="E93" s="1" t="s">
        <v>20</v>
      </c>
      <c r="F93" s="1" t="s">
        <v>21</v>
      </c>
      <c r="G93" s="1" t="s">
        <v>5</v>
      </c>
      <c r="H93" s="3">
        <v>80</v>
      </c>
      <c r="I93" s="11">
        <f t="shared" si="18"/>
        <v>0.51</v>
      </c>
      <c r="J93" s="12">
        <v>0.49</v>
      </c>
      <c r="K93" s="12">
        <f t="shared" si="16"/>
        <v>0.91333333333333333</v>
      </c>
      <c r="L93" s="12">
        <v>0.02</v>
      </c>
      <c r="M93" s="12">
        <v>6.6666666666666666E-2</v>
      </c>
      <c r="N93" s="6" t="s">
        <v>6</v>
      </c>
      <c r="O93" s="62"/>
      <c r="P93" s="64"/>
      <c r="Q93" s="8">
        <f t="shared" si="13"/>
        <v>106.17947712418301</v>
      </c>
      <c r="R93" s="8">
        <f t="shared" si="11"/>
        <v>2.3250980392156864</v>
      </c>
      <c r="S93" s="8">
        <f t="shared" si="12"/>
        <v>7.7503267973856209</v>
      </c>
    </row>
    <row r="94" spans="1:19" x14ac:dyDescent="0.25">
      <c r="A94" s="1" t="s">
        <v>115</v>
      </c>
      <c r="B94" s="1" t="s">
        <v>14</v>
      </c>
      <c r="C94" s="3">
        <v>3030</v>
      </c>
      <c r="D94" s="3" t="s">
        <v>82</v>
      </c>
      <c r="E94" s="3" t="s">
        <v>20</v>
      </c>
      <c r="F94" s="3" t="s">
        <v>21</v>
      </c>
      <c r="G94" s="3" t="s">
        <v>8</v>
      </c>
      <c r="H94" s="3">
        <v>80</v>
      </c>
      <c r="I94" s="32">
        <f t="shared" si="18"/>
        <v>0.5</v>
      </c>
      <c r="J94" s="33">
        <v>0.5</v>
      </c>
      <c r="K94" s="33">
        <f t="shared" si="16"/>
        <v>4.9999999999999982E-2</v>
      </c>
      <c r="L94" s="33">
        <v>0.89300000000000002</v>
      </c>
      <c r="M94" s="33">
        <v>5.7000000000000002E-2</v>
      </c>
      <c r="N94" s="34" t="s">
        <v>6</v>
      </c>
      <c r="O94" s="62"/>
      <c r="P94" s="64"/>
      <c r="Q94" s="8">
        <f t="shared" si="13"/>
        <v>6.049999999999998</v>
      </c>
      <c r="R94" s="8">
        <f t="shared" si="11"/>
        <v>108.053</v>
      </c>
      <c r="S94" s="8">
        <f t="shared" si="12"/>
        <v>6.8970000000000002</v>
      </c>
    </row>
    <row r="95" spans="1:19" x14ac:dyDescent="0.25">
      <c r="A95" s="1" t="s">
        <v>116</v>
      </c>
      <c r="B95" s="1" t="s">
        <v>14</v>
      </c>
      <c r="C95" s="3">
        <v>3030</v>
      </c>
      <c r="D95" s="3" t="s">
        <v>82</v>
      </c>
      <c r="E95" s="3" t="s">
        <v>20</v>
      </c>
      <c r="F95" s="3" t="s">
        <v>21</v>
      </c>
      <c r="G95" s="3" t="s">
        <v>10</v>
      </c>
      <c r="H95" s="3">
        <v>80</v>
      </c>
      <c r="I95" s="32">
        <f t="shared" si="18"/>
        <v>0.71</v>
      </c>
      <c r="J95" s="35">
        <v>0.28999999999999998</v>
      </c>
      <c r="K95" s="33">
        <f t="shared" si="16"/>
        <v>0.9284</v>
      </c>
      <c r="L95" s="33">
        <v>0.02</v>
      </c>
      <c r="M95" s="33">
        <v>5.16E-2</v>
      </c>
      <c r="N95" s="34" t="s">
        <v>6</v>
      </c>
      <c r="O95" s="62"/>
      <c r="P95" s="64"/>
      <c r="Q95" s="8">
        <f t="shared" si="13"/>
        <v>45.883881690140846</v>
      </c>
      <c r="R95" s="8">
        <f t="shared" si="11"/>
        <v>0.98845070422535219</v>
      </c>
      <c r="S95" s="8">
        <f t="shared" si="12"/>
        <v>2.5502028169014084</v>
      </c>
    </row>
    <row r="96" spans="1:19" x14ac:dyDescent="0.25">
      <c r="A96" s="10" t="s">
        <v>117</v>
      </c>
      <c r="B96" s="1" t="s">
        <v>14</v>
      </c>
      <c r="C96" s="3">
        <v>3030</v>
      </c>
      <c r="D96" s="3" t="s">
        <v>82</v>
      </c>
      <c r="E96" s="3" t="s">
        <v>20</v>
      </c>
      <c r="F96" s="3" t="s">
        <v>21</v>
      </c>
      <c r="G96" s="3" t="s">
        <v>12</v>
      </c>
      <c r="H96" s="3">
        <v>80</v>
      </c>
      <c r="I96" s="32">
        <f t="shared" si="18"/>
        <v>0.71199999999999997</v>
      </c>
      <c r="J96" s="33">
        <v>0.28799999999999998</v>
      </c>
      <c r="K96" s="33">
        <f t="shared" si="16"/>
        <v>0.68299999999999994</v>
      </c>
      <c r="L96" s="33">
        <v>0.3</v>
      </c>
      <c r="M96" s="35">
        <v>1.7000000000000001E-2</v>
      </c>
      <c r="N96" s="34" t="s">
        <v>6</v>
      </c>
      <c r="O96" s="62"/>
      <c r="P96" s="64"/>
      <c r="Q96" s="8">
        <f t="shared" si="13"/>
        <v>33.428629213483141</v>
      </c>
      <c r="R96" s="8">
        <f t="shared" si="11"/>
        <v>14.683146067415729</v>
      </c>
      <c r="S96" s="8">
        <f t="shared" si="12"/>
        <v>0.83204494382022476</v>
      </c>
    </row>
    <row r="97" spans="1:19" x14ac:dyDescent="0.25">
      <c r="A97" s="26" t="s">
        <v>118</v>
      </c>
      <c r="B97" s="1" t="s">
        <v>14</v>
      </c>
      <c r="C97" s="1">
        <v>5050</v>
      </c>
      <c r="D97" s="3" t="s">
        <v>82</v>
      </c>
      <c r="E97" s="1" t="s">
        <v>27</v>
      </c>
      <c r="F97" s="1" t="s">
        <v>28</v>
      </c>
      <c r="G97" s="1" t="s">
        <v>5</v>
      </c>
      <c r="H97" s="3">
        <v>80</v>
      </c>
      <c r="I97" s="11">
        <f t="shared" si="18"/>
        <v>0.65</v>
      </c>
      <c r="J97" s="12">
        <v>0.35</v>
      </c>
      <c r="K97" s="12">
        <f>100%-L97-M97</f>
        <v>0.89500000000000002</v>
      </c>
      <c r="L97" s="13">
        <v>0.02</v>
      </c>
      <c r="M97" s="13">
        <v>8.5000000000000006E-2</v>
      </c>
      <c r="N97" s="6" t="s">
        <v>6</v>
      </c>
      <c r="O97" s="62"/>
      <c r="P97" s="64"/>
      <c r="Q97" s="8">
        <f t="shared" si="13"/>
        <v>58.312692307692302</v>
      </c>
      <c r="R97" s="8">
        <f t="shared" si="11"/>
        <v>1.303076923076923</v>
      </c>
      <c r="S97" s="8">
        <f t="shared" si="12"/>
        <v>5.5380769230769227</v>
      </c>
    </row>
    <row r="98" spans="1:19" x14ac:dyDescent="0.25">
      <c r="A98" s="26" t="s">
        <v>119</v>
      </c>
      <c r="B98" s="1" t="s">
        <v>14</v>
      </c>
      <c r="C98" s="1">
        <v>5050</v>
      </c>
      <c r="D98" s="3" t="s">
        <v>82</v>
      </c>
      <c r="E98" s="1" t="s">
        <v>27</v>
      </c>
      <c r="F98" s="1" t="s">
        <v>28</v>
      </c>
      <c r="G98" s="1" t="s">
        <v>8</v>
      </c>
      <c r="H98" s="3">
        <v>80</v>
      </c>
      <c r="I98" s="11">
        <f>100%-J98</f>
        <v>0.68599999999999994</v>
      </c>
      <c r="J98" s="12">
        <v>0.314</v>
      </c>
      <c r="K98" s="12">
        <f t="shared" ref="K98:K106" si="19">100%-L98-M98</f>
        <v>0.90700000000000003</v>
      </c>
      <c r="L98" s="13">
        <v>0.02</v>
      </c>
      <c r="M98" s="13">
        <v>7.2999999999999995E-2</v>
      </c>
      <c r="N98" s="6" t="s">
        <v>6</v>
      </c>
      <c r="O98" s="62"/>
      <c r="P98" s="64"/>
      <c r="Q98" s="8">
        <f t="shared" si="13"/>
        <v>50.234049562682216</v>
      </c>
      <c r="R98" s="8">
        <f t="shared" si="11"/>
        <v>1.1076967930029153</v>
      </c>
      <c r="S98" s="8">
        <f t="shared" si="12"/>
        <v>4.0430932944606415</v>
      </c>
    </row>
    <row r="99" spans="1:19" x14ac:dyDescent="0.25">
      <c r="A99" s="26" t="s">
        <v>120</v>
      </c>
      <c r="B99" s="1" t="s">
        <v>14</v>
      </c>
      <c r="C99" s="2">
        <v>5050</v>
      </c>
      <c r="D99" s="3" t="s">
        <v>82</v>
      </c>
      <c r="E99" s="2" t="s">
        <v>27</v>
      </c>
      <c r="F99" s="2" t="s">
        <v>28</v>
      </c>
      <c r="G99" s="2" t="s">
        <v>10</v>
      </c>
      <c r="H99" s="3">
        <v>80</v>
      </c>
      <c r="I99" s="4">
        <f>100%-J99</f>
        <v>0.77</v>
      </c>
      <c r="J99" s="9">
        <v>0.23</v>
      </c>
      <c r="K99" s="5">
        <f t="shared" si="19"/>
        <v>0.92399999999999993</v>
      </c>
      <c r="L99" s="24">
        <v>0.02</v>
      </c>
      <c r="M99" s="24">
        <v>5.6000000000000001E-2</v>
      </c>
      <c r="N99" s="6" t="s">
        <v>6</v>
      </c>
      <c r="O99" s="62"/>
      <c r="P99" s="64"/>
      <c r="Q99" s="8">
        <f t="shared" si="13"/>
        <v>33.396000000000001</v>
      </c>
      <c r="R99" s="8">
        <f t="shared" si="11"/>
        <v>0.72285714285714298</v>
      </c>
      <c r="S99" s="8">
        <f t="shared" si="12"/>
        <v>2.024</v>
      </c>
    </row>
    <row r="100" spans="1:19" x14ac:dyDescent="0.25">
      <c r="A100" s="26" t="s">
        <v>121</v>
      </c>
      <c r="B100" s="1" t="s">
        <v>14</v>
      </c>
      <c r="C100" s="27">
        <v>5050</v>
      </c>
      <c r="D100" s="3" t="s">
        <v>82</v>
      </c>
      <c r="E100" s="27" t="s">
        <v>27</v>
      </c>
      <c r="F100" s="27" t="s">
        <v>28</v>
      </c>
      <c r="G100" s="27" t="s">
        <v>12</v>
      </c>
      <c r="H100" s="3">
        <v>80</v>
      </c>
      <c r="I100" s="28">
        <f>100%-J100</f>
        <v>0.81600000000000006</v>
      </c>
      <c r="J100" s="29">
        <v>0.184</v>
      </c>
      <c r="K100" s="29">
        <f t="shared" si="19"/>
        <v>0.93499999999999994</v>
      </c>
      <c r="L100" s="30">
        <v>0.02</v>
      </c>
      <c r="M100" s="30">
        <v>4.4999999999999998E-2</v>
      </c>
      <c r="N100" s="31" t="s">
        <v>6</v>
      </c>
      <c r="O100" s="62"/>
      <c r="P100" s="64"/>
      <c r="Q100" s="8">
        <f t="shared" si="13"/>
        <v>25.510833333333334</v>
      </c>
      <c r="R100" s="8">
        <f t="shared" si="11"/>
        <v>0.545686274509804</v>
      </c>
      <c r="S100" s="8">
        <f t="shared" si="12"/>
        <v>1.2277941176470588</v>
      </c>
    </row>
    <row r="101" spans="1:19" x14ac:dyDescent="0.25">
      <c r="A101" s="26" t="s">
        <v>122</v>
      </c>
      <c r="B101" s="1" t="s">
        <v>14</v>
      </c>
      <c r="C101" s="3">
        <v>5050</v>
      </c>
      <c r="D101" s="3" t="s">
        <v>82</v>
      </c>
      <c r="E101" s="3" t="s">
        <v>33</v>
      </c>
      <c r="F101" s="3" t="s">
        <v>34</v>
      </c>
      <c r="G101" s="3" t="s">
        <v>5</v>
      </c>
      <c r="H101" s="3">
        <v>80</v>
      </c>
      <c r="I101" s="32">
        <f t="shared" ref="I101:I152" si="20">100%-J101</f>
        <v>0.55000000000000004</v>
      </c>
      <c r="J101" s="33">
        <v>0.45</v>
      </c>
      <c r="K101" s="33">
        <f t="shared" si="19"/>
        <v>0.91749999999999998</v>
      </c>
      <c r="L101" s="33">
        <v>0.02</v>
      </c>
      <c r="M101" s="33">
        <v>6.25E-2</v>
      </c>
      <c r="N101" s="34" t="s">
        <v>6</v>
      </c>
      <c r="O101" s="62"/>
      <c r="P101" s="64"/>
      <c r="Q101" s="8">
        <f t="shared" si="13"/>
        <v>90.832499999999982</v>
      </c>
      <c r="R101" s="8">
        <f t="shared" si="11"/>
        <v>1.9799999999999998</v>
      </c>
      <c r="S101" s="8">
        <f t="shared" si="12"/>
        <v>6.1874999999999991</v>
      </c>
    </row>
    <row r="102" spans="1:19" x14ac:dyDescent="0.25">
      <c r="A102" s="26" t="s">
        <v>123</v>
      </c>
      <c r="B102" s="1" t="s">
        <v>14</v>
      </c>
      <c r="C102" s="3">
        <v>5050</v>
      </c>
      <c r="D102" s="3" t="s">
        <v>82</v>
      </c>
      <c r="E102" s="3" t="s">
        <v>33</v>
      </c>
      <c r="F102" s="3" t="s">
        <v>36</v>
      </c>
      <c r="G102" s="3" t="s">
        <v>5</v>
      </c>
      <c r="H102" s="3">
        <v>80</v>
      </c>
      <c r="I102" s="32">
        <f t="shared" si="20"/>
        <v>0.55000000000000004</v>
      </c>
      <c r="J102" s="33">
        <v>0.45</v>
      </c>
      <c r="K102" s="33">
        <f t="shared" si="19"/>
        <v>0.91749999999999998</v>
      </c>
      <c r="L102" s="33">
        <v>0.02</v>
      </c>
      <c r="M102" s="33">
        <v>6.25E-2</v>
      </c>
      <c r="N102" s="34" t="s">
        <v>6</v>
      </c>
      <c r="O102" s="62"/>
      <c r="P102" s="64"/>
      <c r="Q102" s="8">
        <f t="shared" si="13"/>
        <v>90.832499999999982</v>
      </c>
      <c r="R102" s="8">
        <f t="shared" si="11"/>
        <v>1.9799999999999998</v>
      </c>
      <c r="S102" s="8">
        <f t="shared" si="12"/>
        <v>6.1874999999999991</v>
      </c>
    </row>
    <row r="103" spans="1:19" x14ac:dyDescent="0.25">
      <c r="A103" s="26" t="s">
        <v>124</v>
      </c>
      <c r="B103" s="1" t="s">
        <v>14</v>
      </c>
      <c r="C103" s="2">
        <v>5050</v>
      </c>
      <c r="D103" s="3" t="s">
        <v>82</v>
      </c>
      <c r="E103" s="2" t="s">
        <v>33</v>
      </c>
      <c r="F103" s="2" t="s">
        <v>34</v>
      </c>
      <c r="G103" s="2" t="s">
        <v>8</v>
      </c>
      <c r="H103" s="3">
        <v>80</v>
      </c>
      <c r="I103" s="4">
        <f t="shared" si="20"/>
        <v>0.57000000000000006</v>
      </c>
      <c r="J103" s="5">
        <v>0.43</v>
      </c>
      <c r="K103" s="5">
        <f t="shared" si="19"/>
        <v>0.92620000000000002</v>
      </c>
      <c r="L103" s="5">
        <v>1.9999999999999997E-2</v>
      </c>
      <c r="M103" s="5">
        <v>5.3800000000000001E-2</v>
      </c>
      <c r="N103" s="6" t="s">
        <v>6</v>
      </c>
      <c r="O103" s="62"/>
      <c r="P103" s="64"/>
      <c r="Q103" s="8">
        <f t="shared" si="13"/>
        <v>84.544185964912273</v>
      </c>
      <c r="R103" s="8">
        <f t="shared" si="11"/>
        <v>1.8256140350877188</v>
      </c>
      <c r="S103" s="8">
        <f t="shared" si="12"/>
        <v>4.9109017543859643</v>
      </c>
    </row>
    <row r="104" spans="1:19" x14ac:dyDescent="0.25">
      <c r="A104" s="26" t="s">
        <v>125</v>
      </c>
      <c r="B104" s="1" t="s">
        <v>14</v>
      </c>
      <c r="C104" s="2">
        <v>5050</v>
      </c>
      <c r="D104" s="3" t="s">
        <v>82</v>
      </c>
      <c r="E104" s="2" t="s">
        <v>33</v>
      </c>
      <c r="F104" s="2" t="s">
        <v>36</v>
      </c>
      <c r="G104" s="2" t="s">
        <v>8</v>
      </c>
      <c r="H104" s="3">
        <v>80</v>
      </c>
      <c r="I104" s="4">
        <f t="shared" si="20"/>
        <v>0.57000000000000006</v>
      </c>
      <c r="J104" s="5">
        <v>0.43</v>
      </c>
      <c r="K104" s="5">
        <f t="shared" si="19"/>
        <v>0.92620000000000002</v>
      </c>
      <c r="L104" s="5">
        <v>1.9999999999999997E-2</v>
      </c>
      <c r="M104" s="5">
        <v>5.3800000000000001E-2</v>
      </c>
      <c r="N104" s="6" t="s">
        <v>6</v>
      </c>
      <c r="O104" s="62"/>
      <c r="P104" s="64"/>
      <c r="Q104" s="8">
        <f t="shared" si="13"/>
        <v>84.544185964912273</v>
      </c>
      <c r="R104" s="8">
        <f t="shared" si="11"/>
        <v>1.8256140350877188</v>
      </c>
      <c r="S104" s="8">
        <f t="shared" si="12"/>
        <v>4.9109017543859643</v>
      </c>
    </row>
    <row r="105" spans="1:19" x14ac:dyDescent="0.25">
      <c r="A105" s="26" t="s">
        <v>126</v>
      </c>
      <c r="B105" s="1" t="s">
        <v>14</v>
      </c>
      <c r="C105" s="3">
        <v>5050</v>
      </c>
      <c r="D105" s="3" t="s">
        <v>82</v>
      </c>
      <c r="E105" s="3" t="s">
        <v>33</v>
      </c>
      <c r="F105" s="3" t="s">
        <v>34</v>
      </c>
      <c r="G105" s="3" t="s">
        <v>10</v>
      </c>
      <c r="H105" s="3">
        <v>80</v>
      </c>
      <c r="I105" s="32">
        <f t="shared" si="20"/>
        <v>0.7</v>
      </c>
      <c r="J105" s="35">
        <v>0.3</v>
      </c>
      <c r="K105" s="33">
        <f t="shared" si="19"/>
        <v>0.93555555555555558</v>
      </c>
      <c r="L105" s="35">
        <v>0.02</v>
      </c>
      <c r="M105" s="35">
        <v>4.4444444444444446E-2</v>
      </c>
      <c r="N105" s="34" t="s">
        <v>6</v>
      </c>
      <c r="O105" s="62"/>
      <c r="P105" s="64"/>
      <c r="Q105" s="8">
        <f t="shared" si="13"/>
        <v>48.515238095238097</v>
      </c>
      <c r="R105" s="8">
        <f t="shared" si="11"/>
        <v>1.0371428571428571</v>
      </c>
      <c r="S105" s="8">
        <f t="shared" si="12"/>
        <v>2.3047619047619046</v>
      </c>
    </row>
    <row r="106" spans="1:19" x14ac:dyDescent="0.25">
      <c r="A106" s="26" t="s">
        <v>127</v>
      </c>
      <c r="B106" s="1" t="s">
        <v>14</v>
      </c>
      <c r="C106" s="3">
        <v>5050</v>
      </c>
      <c r="D106" s="3" t="s">
        <v>82</v>
      </c>
      <c r="E106" s="3" t="s">
        <v>33</v>
      </c>
      <c r="F106" s="3" t="s">
        <v>36</v>
      </c>
      <c r="G106" s="3" t="s">
        <v>10</v>
      </c>
      <c r="H106" s="3">
        <v>80</v>
      </c>
      <c r="I106" s="32">
        <f t="shared" si="20"/>
        <v>0.65999999999999992</v>
      </c>
      <c r="J106" s="35">
        <v>0.34</v>
      </c>
      <c r="K106" s="33">
        <f t="shared" si="19"/>
        <v>0.90799999999999992</v>
      </c>
      <c r="L106" s="35">
        <v>0.05</v>
      </c>
      <c r="M106" s="35">
        <v>4.2000000000000003E-2</v>
      </c>
      <c r="N106" s="34" t="s">
        <v>6</v>
      </c>
      <c r="O106" s="62"/>
      <c r="P106" s="64"/>
      <c r="Q106" s="8">
        <f t="shared" si="13"/>
        <v>56.598666666666674</v>
      </c>
      <c r="R106" s="8">
        <f t="shared" si="11"/>
        <v>3.1166666666666671</v>
      </c>
      <c r="S106" s="8">
        <f t="shared" si="12"/>
        <v>2.6180000000000008</v>
      </c>
    </row>
    <row r="107" spans="1:19" x14ac:dyDescent="0.25">
      <c r="A107" s="26" t="s">
        <v>128</v>
      </c>
      <c r="B107" s="1" t="s">
        <v>14</v>
      </c>
      <c r="C107" s="2">
        <v>5050</v>
      </c>
      <c r="D107" s="3" t="s">
        <v>82</v>
      </c>
      <c r="E107" s="2" t="s">
        <v>33</v>
      </c>
      <c r="F107" s="2" t="s">
        <v>36</v>
      </c>
      <c r="G107" s="2" t="s">
        <v>12</v>
      </c>
      <c r="H107" s="3">
        <v>80</v>
      </c>
      <c r="I107" s="4">
        <f t="shared" si="20"/>
        <v>0.71</v>
      </c>
      <c r="J107" s="5">
        <v>0.28999999999999998</v>
      </c>
      <c r="K107" s="5">
        <f>100%-L107-M107</f>
        <v>0.56699999999999995</v>
      </c>
      <c r="L107" s="9">
        <v>0.4</v>
      </c>
      <c r="M107" s="9">
        <v>3.3000000000000002E-2</v>
      </c>
      <c r="N107" s="6" t="s">
        <v>6</v>
      </c>
      <c r="O107" s="62"/>
      <c r="P107" s="64"/>
      <c r="Q107" s="8">
        <f t="shared" si="13"/>
        <v>28.022577464788732</v>
      </c>
      <c r="R107" s="8">
        <f t="shared" si="11"/>
        <v>19.769014084507045</v>
      </c>
      <c r="S107" s="8">
        <f t="shared" si="12"/>
        <v>1.6309436619718312</v>
      </c>
    </row>
    <row r="108" spans="1:19" x14ac:dyDescent="0.25">
      <c r="A108" s="26" t="s">
        <v>129</v>
      </c>
      <c r="B108" s="1" t="s">
        <v>14</v>
      </c>
      <c r="C108" s="2">
        <v>5050</v>
      </c>
      <c r="D108" s="3" t="s">
        <v>82</v>
      </c>
      <c r="E108" s="2" t="s">
        <v>33</v>
      </c>
      <c r="F108" s="2" t="s">
        <v>34</v>
      </c>
      <c r="G108" s="2" t="s">
        <v>12</v>
      </c>
      <c r="H108" s="3">
        <v>80</v>
      </c>
      <c r="I108" s="4">
        <f t="shared" si="20"/>
        <v>0.76500000000000001</v>
      </c>
      <c r="J108" s="5">
        <v>0.23499999999999999</v>
      </c>
      <c r="K108" s="5">
        <f>100%-L108-M108</f>
        <v>0.94430000000000003</v>
      </c>
      <c r="L108" s="9">
        <v>0.02</v>
      </c>
      <c r="M108" s="9">
        <v>3.5700000000000003E-2</v>
      </c>
      <c r="N108" s="6" t="s">
        <v>6</v>
      </c>
      <c r="O108" s="62"/>
      <c r="P108" s="64"/>
      <c r="Q108" s="8">
        <f t="shared" si="13"/>
        <v>35.099569281045753</v>
      </c>
      <c r="R108" s="8">
        <f t="shared" si="11"/>
        <v>0.74339869281045756</v>
      </c>
      <c r="S108" s="8">
        <f t="shared" si="12"/>
        <v>1.3269666666666668</v>
      </c>
    </row>
    <row r="109" spans="1:19" x14ac:dyDescent="0.25">
      <c r="A109" s="1" t="s">
        <v>130</v>
      </c>
      <c r="B109" s="1" t="s">
        <v>1</v>
      </c>
      <c r="C109" s="2">
        <v>2835</v>
      </c>
      <c r="D109" s="2" t="s">
        <v>15</v>
      </c>
      <c r="E109" s="2" t="s">
        <v>3</v>
      </c>
      <c r="F109" s="2" t="s">
        <v>4</v>
      </c>
      <c r="G109" s="2" t="s">
        <v>5</v>
      </c>
      <c r="H109" s="3">
        <v>80</v>
      </c>
      <c r="I109" s="4">
        <f t="shared" si="20"/>
        <v>0.46499999999999997</v>
      </c>
      <c r="J109" s="5">
        <v>0.53500000000000003</v>
      </c>
      <c r="K109" s="5">
        <f t="shared" ref="K109:K126" si="21">100%-L109-M109</f>
        <v>0.91549999999999998</v>
      </c>
      <c r="L109" s="5">
        <v>2.5000000000000001E-2</v>
      </c>
      <c r="M109" s="5">
        <v>5.9499999999999997E-2</v>
      </c>
      <c r="N109" s="6" t="s">
        <v>6</v>
      </c>
      <c r="O109" s="62"/>
      <c r="P109" s="64"/>
      <c r="Q109" s="8">
        <f t="shared" si="13"/>
        <v>127.45138172043013</v>
      </c>
      <c r="R109" s="8">
        <f t="shared" si="11"/>
        <v>3.4803763440860225</v>
      </c>
      <c r="S109" s="8">
        <f t="shared" si="12"/>
        <v>8.2832956989247322</v>
      </c>
    </row>
    <row r="110" spans="1:19" x14ac:dyDescent="0.25">
      <c r="A110" s="1" t="s">
        <v>131</v>
      </c>
      <c r="B110" s="1" t="s">
        <v>1</v>
      </c>
      <c r="C110" s="2">
        <v>2835</v>
      </c>
      <c r="D110" s="2" t="s">
        <v>15</v>
      </c>
      <c r="E110" s="2" t="s">
        <v>3</v>
      </c>
      <c r="F110" s="2" t="s">
        <v>4</v>
      </c>
      <c r="G110" s="2" t="s">
        <v>8</v>
      </c>
      <c r="H110" s="3">
        <v>80</v>
      </c>
      <c r="I110" s="4">
        <f t="shared" si="20"/>
        <v>0.59000000000000008</v>
      </c>
      <c r="J110" s="5">
        <v>0.41</v>
      </c>
      <c r="K110" s="5">
        <f t="shared" si="21"/>
        <v>0.92449999999999999</v>
      </c>
      <c r="L110" s="5">
        <v>0.02</v>
      </c>
      <c r="M110" s="5">
        <v>5.5500000000000001E-2</v>
      </c>
      <c r="N110" s="6" t="s">
        <v>6</v>
      </c>
      <c r="O110" s="62"/>
      <c r="P110" s="64"/>
      <c r="Q110" s="8">
        <f t="shared" si="13"/>
        <v>77.736347457627105</v>
      </c>
      <c r="R110" s="8">
        <f t="shared" si="11"/>
        <v>1.6816949152542371</v>
      </c>
      <c r="S110" s="8">
        <f t="shared" si="12"/>
        <v>4.6667033898305075</v>
      </c>
    </row>
    <row r="111" spans="1:19" x14ac:dyDescent="0.25">
      <c r="A111" s="1" t="s">
        <v>132</v>
      </c>
      <c r="B111" s="1" t="s">
        <v>1</v>
      </c>
      <c r="C111" s="2">
        <v>2835</v>
      </c>
      <c r="D111" s="2" t="s">
        <v>15</v>
      </c>
      <c r="E111" s="2" t="s">
        <v>3</v>
      </c>
      <c r="F111" s="2" t="s">
        <v>4</v>
      </c>
      <c r="G111" s="2" t="s">
        <v>10</v>
      </c>
      <c r="H111" s="3">
        <v>80</v>
      </c>
      <c r="I111" s="4">
        <f t="shared" si="20"/>
        <v>0.65</v>
      </c>
      <c r="J111" s="9">
        <v>0.35</v>
      </c>
      <c r="K111" s="5">
        <f t="shared" si="21"/>
        <v>0.45400000000000001</v>
      </c>
      <c r="L111" s="9">
        <v>0.5</v>
      </c>
      <c r="M111" s="9">
        <v>4.5999999999999999E-2</v>
      </c>
      <c r="N111" s="6" t="s">
        <v>6</v>
      </c>
      <c r="O111" s="62"/>
      <c r="P111" s="64"/>
      <c r="Q111" s="8">
        <f t="shared" si="13"/>
        <v>29.579846153846152</v>
      </c>
      <c r="R111" s="8">
        <f t="shared" si="11"/>
        <v>32.576923076923073</v>
      </c>
      <c r="S111" s="8">
        <f t="shared" si="12"/>
        <v>2.9970769230769227</v>
      </c>
    </row>
    <row r="112" spans="1:19" x14ac:dyDescent="0.25">
      <c r="A112" s="10" t="s">
        <v>133</v>
      </c>
      <c r="B112" s="1" t="s">
        <v>1</v>
      </c>
      <c r="C112" s="2">
        <v>2835</v>
      </c>
      <c r="D112" s="2" t="s">
        <v>15</v>
      </c>
      <c r="E112" s="2" t="s">
        <v>3</v>
      </c>
      <c r="F112" s="2" t="s">
        <v>4</v>
      </c>
      <c r="G112" s="2" t="s">
        <v>12</v>
      </c>
      <c r="H112" s="3">
        <v>80</v>
      </c>
      <c r="I112" s="4">
        <f t="shared" si="20"/>
        <v>0.71</v>
      </c>
      <c r="J112" s="9">
        <v>0.28999999999999998</v>
      </c>
      <c r="K112" s="5">
        <f t="shared" si="21"/>
        <v>0.65</v>
      </c>
      <c r="L112" s="9">
        <v>0.311</v>
      </c>
      <c r="M112" s="9">
        <v>3.9E-2</v>
      </c>
      <c r="N112" s="6" t="s">
        <v>6</v>
      </c>
      <c r="O112" s="62"/>
      <c r="P112" s="64"/>
      <c r="Q112" s="8">
        <f t="shared" si="13"/>
        <v>32.124647887323945</v>
      </c>
      <c r="R112" s="8">
        <f t="shared" si="11"/>
        <v>15.370408450704225</v>
      </c>
      <c r="S112" s="8">
        <f t="shared" si="12"/>
        <v>1.9274788732394368</v>
      </c>
    </row>
    <row r="113" spans="1:19" x14ac:dyDescent="0.25">
      <c r="A113" s="26" t="s">
        <v>134</v>
      </c>
      <c r="B113" s="1" t="s">
        <v>1</v>
      </c>
      <c r="C113" s="3">
        <v>5050</v>
      </c>
      <c r="D113" s="3" t="s">
        <v>15</v>
      </c>
      <c r="E113" s="3" t="s">
        <v>51</v>
      </c>
      <c r="F113" s="3" t="s">
        <v>52</v>
      </c>
      <c r="G113" s="3" t="s">
        <v>12</v>
      </c>
      <c r="H113" s="3">
        <v>80</v>
      </c>
      <c r="I113" s="32">
        <f t="shared" si="20"/>
        <v>0.76</v>
      </c>
      <c r="J113" s="33">
        <v>0.24</v>
      </c>
      <c r="K113" s="33">
        <f t="shared" si="21"/>
        <v>0.65699999999999992</v>
      </c>
      <c r="L113" s="36">
        <v>0.3</v>
      </c>
      <c r="M113" s="36">
        <v>4.2999999999999997E-2</v>
      </c>
      <c r="N113" s="34" t="s">
        <v>6</v>
      </c>
      <c r="O113" s="62"/>
      <c r="P113" s="64"/>
      <c r="Q113" s="8">
        <f t="shared" si="13"/>
        <v>25.104315789473681</v>
      </c>
      <c r="R113" s="8">
        <f t="shared" si="11"/>
        <v>11.463157894736842</v>
      </c>
      <c r="S113" s="8">
        <f t="shared" si="12"/>
        <v>1.6430526315789471</v>
      </c>
    </row>
    <row r="114" spans="1:19" x14ac:dyDescent="0.25">
      <c r="A114" s="26" t="s">
        <v>135</v>
      </c>
      <c r="B114" s="1" t="s">
        <v>1</v>
      </c>
      <c r="C114" s="2">
        <v>5050</v>
      </c>
      <c r="D114" s="2" t="s">
        <v>15</v>
      </c>
      <c r="E114" s="2" t="s">
        <v>51</v>
      </c>
      <c r="F114" s="2" t="s">
        <v>52</v>
      </c>
      <c r="G114" s="2" t="s">
        <v>12</v>
      </c>
      <c r="H114" s="3">
        <v>70</v>
      </c>
      <c r="I114" s="4">
        <f t="shared" si="20"/>
        <v>0.8</v>
      </c>
      <c r="J114" s="9">
        <v>0.2</v>
      </c>
      <c r="K114" s="5">
        <f t="shared" si="21"/>
        <v>0.57199999999999995</v>
      </c>
      <c r="L114" s="24">
        <v>0.4</v>
      </c>
      <c r="M114" s="24">
        <v>2.8000000000000001E-2</v>
      </c>
      <c r="N114" s="6" t="s">
        <v>24</v>
      </c>
      <c r="O114" s="62"/>
      <c r="P114" s="64"/>
      <c r="Q114" s="8">
        <f t="shared" si="13"/>
        <v>17.302999999999997</v>
      </c>
      <c r="R114" s="8">
        <f t="shared" si="11"/>
        <v>12.100000000000001</v>
      </c>
      <c r="S114" s="8">
        <f t="shared" si="12"/>
        <v>0.84699999999999998</v>
      </c>
    </row>
    <row r="115" spans="1:19" x14ac:dyDescent="0.25">
      <c r="A115" s="1" t="s">
        <v>136</v>
      </c>
      <c r="B115" s="1" t="s">
        <v>1</v>
      </c>
      <c r="C115" s="2">
        <v>2835</v>
      </c>
      <c r="D115" s="2" t="s">
        <v>2</v>
      </c>
      <c r="E115" s="2" t="s">
        <v>3</v>
      </c>
      <c r="F115" s="2" t="s">
        <v>4</v>
      </c>
      <c r="G115" s="2" t="s">
        <v>137</v>
      </c>
      <c r="H115" s="3">
        <v>70</v>
      </c>
      <c r="I115" s="4">
        <f t="shared" si="20"/>
        <v>0.55000000000000004</v>
      </c>
      <c r="J115" s="5">
        <v>0.45</v>
      </c>
      <c r="K115" s="5">
        <f t="shared" si="21"/>
        <v>0.9153</v>
      </c>
      <c r="L115" s="5">
        <v>0.02</v>
      </c>
      <c r="M115" s="5">
        <v>6.4699999999999994E-2</v>
      </c>
      <c r="N115" s="6" t="s">
        <v>6</v>
      </c>
      <c r="O115" s="61">
        <v>110</v>
      </c>
      <c r="P115" s="63">
        <v>11</v>
      </c>
      <c r="Q115" s="8">
        <f>($O$3+$P$3)/I115*J115*K115</f>
        <v>90.614699999999985</v>
      </c>
      <c r="R115" s="8">
        <f>($O$3+$P$3)/I115*J115*L115</f>
        <v>1.9799999999999998</v>
      </c>
      <c r="S115" s="8">
        <f>($O$3+$P$3)/I115*J115*M115</f>
        <v>6.4052999999999987</v>
      </c>
    </row>
    <row r="116" spans="1:19" x14ac:dyDescent="0.25">
      <c r="A116" s="1" t="s">
        <v>138</v>
      </c>
      <c r="B116" s="1" t="s">
        <v>1</v>
      </c>
      <c r="C116" s="2">
        <v>2835</v>
      </c>
      <c r="D116" s="2" t="s">
        <v>2</v>
      </c>
      <c r="E116" s="2" t="s">
        <v>3</v>
      </c>
      <c r="F116" s="2" t="s">
        <v>4</v>
      </c>
      <c r="G116" s="2" t="s">
        <v>139</v>
      </c>
      <c r="H116" s="3">
        <v>70</v>
      </c>
      <c r="I116" s="4">
        <f t="shared" si="20"/>
        <v>0.59000000000000008</v>
      </c>
      <c r="J116" s="5">
        <v>0.41</v>
      </c>
      <c r="K116" s="5">
        <f t="shared" si="21"/>
        <v>0.92449999999999999</v>
      </c>
      <c r="L116" s="5">
        <v>0.02</v>
      </c>
      <c r="M116" s="5">
        <v>5.5500000000000001E-2</v>
      </c>
      <c r="N116" s="6" t="s">
        <v>6</v>
      </c>
      <c r="O116" s="62"/>
      <c r="P116" s="64"/>
      <c r="Q116" s="8">
        <f>($O$3+$P$3)/I116*J116*K116</f>
        <v>77.736347457627105</v>
      </c>
      <c r="R116" s="8">
        <f t="shared" ref="R116:R179" si="22">($O$3+$P$3)/I116*J116*L116</f>
        <v>1.6816949152542371</v>
      </c>
      <c r="S116" s="8">
        <f t="shared" ref="S116:S179" si="23">($O$3+$P$3)/I116*J116*M116</f>
        <v>4.6667033898305075</v>
      </c>
    </row>
    <row r="117" spans="1:19" x14ac:dyDescent="0.25">
      <c r="A117" s="1" t="s">
        <v>140</v>
      </c>
      <c r="B117" s="1" t="s">
        <v>1</v>
      </c>
      <c r="C117" s="2">
        <v>2835</v>
      </c>
      <c r="D117" s="2" t="s">
        <v>2</v>
      </c>
      <c r="E117" s="2" t="s">
        <v>3</v>
      </c>
      <c r="F117" s="2" t="s">
        <v>4</v>
      </c>
      <c r="G117" s="2" t="s">
        <v>141</v>
      </c>
      <c r="H117" s="3">
        <v>70</v>
      </c>
      <c r="I117" s="4">
        <f t="shared" si="20"/>
        <v>0.65</v>
      </c>
      <c r="J117" s="9">
        <v>0.35</v>
      </c>
      <c r="K117" s="5">
        <f t="shared" si="21"/>
        <v>0.66899999999999993</v>
      </c>
      <c r="L117" s="9">
        <v>0.3</v>
      </c>
      <c r="M117" s="9">
        <v>3.1E-2</v>
      </c>
      <c r="N117" s="6" t="s">
        <v>6</v>
      </c>
      <c r="O117" s="62"/>
      <c r="P117" s="64"/>
      <c r="Q117" s="8">
        <f t="shared" ref="Q117:Q119" si="24">($O$3+$P$3)/I117*J117*K117</f>
        <v>43.587923076923069</v>
      </c>
      <c r="R117" s="8">
        <f t="shared" si="22"/>
        <v>19.546153846153842</v>
      </c>
      <c r="S117" s="8">
        <f t="shared" si="23"/>
        <v>2.0197692307692305</v>
      </c>
    </row>
    <row r="118" spans="1:19" x14ac:dyDescent="0.25">
      <c r="A118" s="10" t="s">
        <v>142</v>
      </c>
      <c r="B118" s="1" t="s">
        <v>1</v>
      </c>
      <c r="C118" s="2">
        <v>2835</v>
      </c>
      <c r="D118" s="2" t="s">
        <v>2</v>
      </c>
      <c r="E118" s="2" t="s">
        <v>3</v>
      </c>
      <c r="F118" s="2" t="s">
        <v>4</v>
      </c>
      <c r="G118" s="2" t="s">
        <v>143</v>
      </c>
      <c r="H118" s="3">
        <v>70</v>
      </c>
      <c r="I118" s="4">
        <f t="shared" si="20"/>
        <v>0.76500000000000001</v>
      </c>
      <c r="J118" s="9">
        <v>0.23499999999999999</v>
      </c>
      <c r="K118" s="5">
        <f t="shared" si="21"/>
        <v>0.94299999999999995</v>
      </c>
      <c r="L118" s="9">
        <v>0.02</v>
      </c>
      <c r="M118" s="9">
        <v>3.6999999999999998E-2</v>
      </c>
      <c r="N118" s="6" t="s">
        <v>6</v>
      </c>
      <c r="O118" s="62"/>
      <c r="P118" s="64"/>
      <c r="Q118" s="8">
        <f t="shared" si="24"/>
        <v>35.05124836601307</v>
      </c>
      <c r="R118" s="8">
        <f t="shared" si="22"/>
        <v>0.74339869281045756</v>
      </c>
      <c r="S118" s="8">
        <f t="shared" si="23"/>
        <v>1.3752875816993464</v>
      </c>
    </row>
    <row r="119" spans="1:19" x14ac:dyDescent="0.25">
      <c r="A119" s="1" t="s">
        <v>144</v>
      </c>
      <c r="B119" s="1" t="s">
        <v>14</v>
      </c>
      <c r="C119" s="1">
        <v>3030</v>
      </c>
      <c r="D119" s="1" t="s">
        <v>15</v>
      </c>
      <c r="E119" s="1" t="s">
        <v>3</v>
      </c>
      <c r="F119" s="1" t="s">
        <v>4</v>
      </c>
      <c r="G119" s="1" t="s">
        <v>137</v>
      </c>
      <c r="H119" s="3">
        <v>70</v>
      </c>
      <c r="I119" s="11">
        <f t="shared" si="20"/>
        <v>0.63</v>
      </c>
      <c r="J119" s="12">
        <v>0.37</v>
      </c>
      <c r="K119" s="12">
        <f t="shared" si="21"/>
        <v>0.89304347826086961</v>
      </c>
      <c r="L119" s="13">
        <v>0.02</v>
      </c>
      <c r="M119" s="13">
        <v>8.6956521739130432E-2</v>
      </c>
      <c r="N119" s="6" t="s">
        <v>6</v>
      </c>
      <c r="O119" s="62"/>
      <c r="P119" s="64"/>
      <c r="Q119" s="8">
        <f t="shared" si="24"/>
        <v>63.462788129744652</v>
      </c>
      <c r="R119" s="8">
        <f t="shared" si="22"/>
        <v>1.4212698412698412</v>
      </c>
      <c r="S119" s="8">
        <f t="shared" si="23"/>
        <v>6.1794340924775701</v>
      </c>
    </row>
    <row r="120" spans="1:19" x14ac:dyDescent="0.25">
      <c r="A120" s="1" t="s">
        <v>145</v>
      </c>
      <c r="B120" s="1" t="s">
        <v>14</v>
      </c>
      <c r="C120" s="14">
        <v>3030</v>
      </c>
      <c r="D120" s="14" t="s">
        <v>15</v>
      </c>
      <c r="E120" s="14" t="s">
        <v>3</v>
      </c>
      <c r="F120" s="14" t="s">
        <v>4</v>
      </c>
      <c r="G120" s="14" t="s">
        <v>139</v>
      </c>
      <c r="H120" s="3">
        <v>70</v>
      </c>
      <c r="I120" s="15">
        <f t="shared" si="20"/>
        <v>0.62</v>
      </c>
      <c r="J120" s="16">
        <v>0.38</v>
      </c>
      <c r="K120" s="16">
        <f t="shared" si="21"/>
        <v>0.91500000000000004</v>
      </c>
      <c r="L120" s="17">
        <v>0.02</v>
      </c>
      <c r="M120" s="17">
        <v>6.5000000000000002E-2</v>
      </c>
      <c r="N120" s="18" t="s">
        <v>6</v>
      </c>
      <c r="O120" s="62"/>
      <c r="P120" s="64"/>
      <c r="Q120" s="8">
        <f>($O$3+$P$3)/I120*J120*K120</f>
        <v>67.857580645161292</v>
      </c>
      <c r="R120" s="8">
        <f t="shared" si="22"/>
        <v>1.4832258064516128</v>
      </c>
      <c r="S120" s="8">
        <f t="shared" si="23"/>
        <v>4.8204838709677418</v>
      </c>
    </row>
    <row r="121" spans="1:19" x14ac:dyDescent="0.25">
      <c r="A121" s="1" t="s">
        <v>146</v>
      </c>
      <c r="B121" s="1" t="s">
        <v>14</v>
      </c>
      <c r="C121" s="19">
        <v>3030</v>
      </c>
      <c r="D121" s="19" t="s">
        <v>15</v>
      </c>
      <c r="E121" s="19" t="s">
        <v>3</v>
      </c>
      <c r="F121" s="19" t="s">
        <v>4</v>
      </c>
      <c r="G121" s="19" t="s">
        <v>141</v>
      </c>
      <c r="H121" s="3">
        <v>70</v>
      </c>
      <c r="I121" s="20">
        <f t="shared" si="20"/>
        <v>0.73</v>
      </c>
      <c r="J121" s="16">
        <v>0.27</v>
      </c>
      <c r="K121" s="21">
        <f t="shared" si="21"/>
        <v>0.92699999999999994</v>
      </c>
      <c r="L121" s="22">
        <v>0.02</v>
      </c>
      <c r="M121" s="22">
        <v>5.2999999999999999E-2</v>
      </c>
      <c r="N121" s="18" t="s">
        <v>6</v>
      </c>
      <c r="O121" s="62"/>
      <c r="P121" s="64"/>
      <c r="Q121" s="8">
        <f t="shared" ref="Q121:Q184" si="25">($O$3+$P$3)/I121*J121*K121</f>
        <v>41.486424657534251</v>
      </c>
      <c r="R121" s="8">
        <f t="shared" si="22"/>
        <v>0.89506849315068504</v>
      </c>
      <c r="S121" s="8">
        <f t="shared" si="23"/>
        <v>2.3719315068493154</v>
      </c>
    </row>
    <row r="122" spans="1:19" x14ac:dyDescent="0.25">
      <c r="A122" s="1" t="s">
        <v>147</v>
      </c>
      <c r="B122" s="1" t="s">
        <v>14</v>
      </c>
      <c r="C122" s="2">
        <v>3030</v>
      </c>
      <c r="D122" s="2" t="s">
        <v>15</v>
      </c>
      <c r="E122" s="2" t="s">
        <v>3</v>
      </c>
      <c r="F122" s="2" t="s">
        <v>4</v>
      </c>
      <c r="G122" s="23" t="s">
        <v>143</v>
      </c>
      <c r="H122" s="3">
        <v>70</v>
      </c>
      <c r="I122" s="4">
        <f t="shared" si="20"/>
        <v>0.78500000000000003</v>
      </c>
      <c r="J122" s="9">
        <v>0.215</v>
      </c>
      <c r="K122" s="5">
        <f t="shared" si="21"/>
        <v>0.93652173913043479</v>
      </c>
      <c r="L122" s="24">
        <v>0.02</v>
      </c>
      <c r="M122" s="24">
        <v>4.3478260869565216E-2</v>
      </c>
      <c r="N122" s="6" t="s">
        <v>6</v>
      </c>
      <c r="O122" s="62"/>
      <c r="P122" s="64"/>
      <c r="Q122" s="8">
        <f t="shared" si="25"/>
        <v>31.036449736914985</v>
      </c>
      <c r="R122" s="8">
        <f t="shared" si="22"/>
        <v>0.66280254777070069</v>
      </c>
      <c r="S122" s="8">
        <f t="shared" si="23"/>
        <v>1.4408751038493492</v>
      </c>
    </row>
    <row r="123" spans="1:19" x14ac:dyDescent="0.25">
      <c r="A123" s="1" t="s">
        <v>148</v>
      </c>
      <c r="B123" s="1" t="s">
        <v>14</v>
      </c>
      <c r="C123" s="19">
        <v>3030</v>
      </c>
      <c r="D123" s="19" t="s">
        <v>15</v>
      </c>
      <c r="E123" s="19" t="s">
        <v>20</v>
      </c>
      <c r="F123" s="19" t="s">
        <v>21</v>
      </c>
      <c r="G123" s="19" t="s">
        <v>137</v>
      </c>
      <c r="H123" s="3">
        <v>70</v>
      </c>
      <c r="I123" s="20">
        <f t="shared" si="20"/>
        <v>0.62</v>
      </c>
      <c r="J123" s="21">
        <v>0.38</v>
      </c>
      <c r="K123" s="21">
        <f t="shared" si="21"/>
        <v>0.89</v>
      </c>
      <c r="L123" s="25">
        <v>1.9999999999999997E-2</v>
      </c>
      <c r="M123" s="25">
        <v>0.09</v>
      </c>
      <c r="N123" s="18" t="s">
        <v>6</v>
      </c>
      <c r="O123" s="62"/>
      <c r="P123" s="64"/>
      <c r="Q123" s="8">
        <f t="shared" si="25"/>
        <v>66.003548387096771</v>
      </c>
      <c r="R123" s="8">
        <f t="shared" si="22"/>
        <v>1.4832258064516126</v>
      </c>
      <c r="S123" s="8">
        <f t="shared" si="23"/>
        <v>6.6745161290322574</v>
      </c>
    </row>
    <row r="124" spans="1:19" x14ac:dyDescent="0.25">
      <c r="A124" s="1" t="s">
        <v>149</v>
      </c>
      <c r="B124" s="1" t="s">
        <v>14</v>
      </c>
      <c r="C124" s="2">
        <v>3030</v>
      </c>
      <c r="D124" s="2" t="s">
        <v>15</v>
      </c>
      <c r="E124" s="2" t="s">
        <v>20</v>
      </c>
      <c r="F124" s="2" t="s">
        <v>21</v>
      </c>
      <c r="G124" s="2" t="s">
        <v>139</v>
      </c>
      <c r="H124" s="3">
        <v>70</v>
      </c>
      <c r="I124" s="4">
        <f t="shared" si="20"/>
        <v>0.65500000000000003</v>
      </c>
      <c r="J124" s="5">
        <v>0.34499999999999997</v>
      </c>
      <c r="K124" s="5">
        <f t="shared" si="21"/>
        <v>0.93500000000000005</v>
      </c>
      <c r="L124" s="5">
        <v>0</v>
      </c>
      <c r="M124" s="5">
        <v>6.5000000000000002E-2</v>
      </c>
      <c r="N124" s="6" t="s">
        <v>6</v>
      </c>
      <c r="O124" s="62"/>
      <c r="P124" s="64"/>
      <c r="Q124" s="8">
        <f t="shared" si="25"/>
        <v>59.590190839694657</v>
      </c>
      <c r="R124" s="8">
        <f t="shared" si="22"/>
        <v>0</v>
      </c>
      <c r="S124" s="8">
        <f t="shared" si="23"/>
        <v>4.1426335877862597</v>
      </c>
    </row>
    <row r="125" spans="1:19" x14ac:dyDescent="0.25">
      <c r="A125" s="1" t="s">
        <v>150</v>
      </c>
      <c r="B125" s="1" t="s">
        <v>14</v>
      </c>
      <c r="C125" s="19">
        <v>3030</v>
      </c>
      <c r="D125" s="19" t="s">
        <v>15</v>
      </c>
      <c r="E125" s="19" t="s">
        <v>20</v>
      </c>
      <c r="F125" s="19" t="s">
        <v>21</v>
      </c>
      <c r="G125" s="19" t="s">
        <v>141</v>
      </c>
      <c r="H125" s="3">
        <v>70</v>
      </c>
      <c r="I125" s="20">
        <f t="shared" si="20"/>
        <v>0.71</v>
      </c>
      <c r="J125" s="16">
        <v>0.28999999999999998</v>
      </c>
      <c r="K125" s="21">
        <f t="shared" si="21"/>
        <v>0.56199999999999994</v>
      </c>
      <c r="L125" s="22">
        <v>0.4</v>
      </c>
      <c r="M125" s="22">
        <v>3.7999999999999999E-2</v>
      </c>
      <c r="N125" s="18" t="s">
        <v>24</v>
      </c>
      <c r="O125" s="62"/>
      <c r="P125" s="64"/>
      <c r="Q125" s="8">
        <f t="shared" si="25"/>
        <v>27.775464788732393</v>
      </c>
      <c r="R125" s="8">
        <f t="shared" si="22"/>
        <v>19.769014084507045</v>
      </c>
      <c r="S125" s="8">
        <f t="shared" si="23"/>
        <v>1.878056338028169</v>
      </c>
    </row>
    <row r="126" spans="1:19" x14ac:dyDescent="0.25">
      <c r="A126" s="1" t="s">
        <v>151</v>
      </c>
      <c r="B126" s="1" t="s">
        <v>14</v>
      </c>
      <c r="C126" s="19">
        <v>3030</v>
      </c>
      <c r="D126" s="19" t="s">
        <v>15</v>
      </c>
      <c r="E126" s="19" t="s">
        <v>20</v>
      </c>
      <c r="F126" s="19" t="s">
        <v>21</v>
      </c>
      <c r="G126" s="19" t="s">
        <v>143</v>
      </c>
      <c r="H126" s="3">
        <v>70</v>
      </c>
      <c r="I126" s="20">
        <f t="shared" si="20"/>
        <v>0.72499999999999998</v>
      </c>
      <c r="J126" s="21">
        <v>0.27500000000000002</v>
      </c>
      <c r="K126" s="21">
        <f t="shared" si="21"/>
        <v>0.68049999999999999</v>
      </c>
      <c r="L126" s="21">
        <v>0.3</v>
      </c>
      <c r="M126" s="21">
        <v>1.95E-2</v>
      </c>
      <c r="N126" s="18" t="s">
        <v>6</v>
      </c>
      <c r="O126" s="62"/>
      <c r="P126" s="64"/>
      <c r="Q126" s="8">
        <f t="shared" si="25"/>
        <v>31.232603448275864</v>
      </c>
      <c r="R126" s="8">
        <f t="shared" si="22"/>
        <v>13.76896551724138</v>
      </c>
      <c r="S126" s="8">
        <f t="shared" si="23"/>
        <v>0.89498275862068977</v>
      </c>
    </row>
    <row r="127" spans="1:19" x14ac:dyDescent="0.25">
      <c r="A127" s="26" t="s">
        <v>152</v>
      </c>
      <c r="B127" s="1" t="s">
        <v>14</v>
      </c>
      <c r="C127" s="1">
        <v>5050</v>
      </c>
      <c r="D127" s="1" t="s">
        <v>15</v>
      </c>
      <c r="E127" s="1" t="s">
        <v>27</v>
      </c>
      <c r="F127" s="1" t="s">
        <v>28</v>
      </c>
      <c r="G127" s="1" t="s">
        <v>137</v>
      </c>
      <c r="H127" s="3">
        <v>70</v>
      </c>
      <c r="I127" s="11">
        <f t="shared" si="20"/>
        <v>0.65</v>
      </c>
      <c r="J127" s="12">
        <v>0.35</v>
      </c>
      <c r="K127" s="12">
        <f>100%-L127-M127</f>
        <v>0.89500000000000002</v>
      </c>
      <c r="L127" s="13">
        <v>0.02</v>
      </c>
      <c r="M127" s="13">
        <v>8.5000000000000006E-2</v>
      </c>
      <c r="N127" s="6" t="s">
        <v>6</v>
      </c>
      <c r="O127" s="62"/>
      <c r="P127" s="64"/>
      <c r="Q127" s="8">
        <f t="shared" si="25"/>
        <v>58.312692307692302</v>
      </c>
      <c r="R127" s="8">
        <f t="shared" si="22"/>
        <v>1.303076923076923</v>
      </c>
      <c r="S127" s="8">
        <f t="shared" si="23"/>
        <v>5.5380769230769227</v>
      </c>
    </row>
    <row r="128" spans="1:19" x14ac:dyDescent="0.25">
      <c r="A128" s="26" t="s">
        <v>153</v>
      </c>
      <c r="B128" s="1" t="s">
        <v>14</v>
      </c>
      <c r="C128" s="1">
        <v>5050</v>
      </c>
      <c r="D128" s="1" t="s">
        <v>15</v>
      </c>
      <c r="E128" s="1" t="s">
        <v>27</v>
      </c>
      <c r="F128" s="1" t="s">
        <v>28</v>
      </c>
      <c r="G128" s="1" t="s">
        <v>139</v>
      </c>
      <c r="H128" s="3">
        <v>70</v>
      </c>
      <c r="I128" s="11">
        <f t="shared" si="20"/>
        <v>0.68599999999999994</v>
      </c>
      <c r="J128" s="12">
        <v>0.314</v>
      </c>
      <c r="K128" s="12">
        <f t="shared" ref="K128:K136" si="26">100%-L128-M128</f>
        <v>0.90700000000000003</v>
      </c>
      <c r="L128" s="13">
        <v>0.02</v>
      </c>
      <c r="M128" s="13">
        <v>7.2999999999999995E-2</v>
      </c>
      <c r="N128" s="6" t="s">
        <v>6</v>
      </c>
      <c r="O128" s="62"/>
      <c r="P128" s="64"/>
      <c r="Q128" s="8">
        <f t="shared" si="25"/>
        <v>50.234049562682216</v>
      </c>
      <c r="R128" s="8">
        <f t="shared" si="22"/>
        <v>1.1076967930029153</v>
      </c>
      <c r="S128" s="8">
        <f t="shared" si="23"/>
        <v>4.0430932944606415</v>
      </c>
    </row>
    <row r="129" spans="1:19" x14ac:dyDescent="0.25">
      <c r="A129" s="26" t="s">
        <v>154</v>
      </c>
      <c r="B129" s="1" t="s">
        <v>14</v>
      </c>
      <c r="C129" s="2">
        <v>5050</v>
      </c>
      <c r="D129" s="2" t="s">
        <v>15</v>
      </c>
      <c r="E129" s="2" t="s">
        <v>27</v>
      </c>
      <c r="F129" s="2" t="s">
        <v>28</v>
      </c>
      <c r="G129" s="2" t="s">
        <v>141</v>
      </c>
      <c r="H129" s="3">
        <v>70</v>
      </c>
      <c r="I129" s="4">
        <f t="shared" si="20"/>
        <v>0.71</v>
      </c>
      <c r="J129" s="9">
        <v>0.28999999999999998</v>
      </c>
      <c r="K129" s="5">
        <f t="shared" si="26"/>
        <v>0.71299999999999997</v>
      </c>
      <c r="L129" s="24">
        <v>0.25</v>
      </c>
      <c r="M129" s="24">
        <v>3.6999999999999998E-2</v>
      </c>
      <c r="N129" s="6" t="s">
        <v>6</v>
      </c>
      <c r="O129" s="62"/>
      <c r="P129" s="64"/>
      <c r="Q129" s="8">
        <f t="shared" si="25"/>
        <v>35.238267605633801</v>
      </c>
      <c r="R129" s="8">
        <f t="shared" si="22"/>
        <v>12.355633802816902</v>
      </c>
      <c r="S129" s="8">
        <f t="shared" si="23"/>
        <v>1.8286338028169014</v>
      </c>
    </row>
    <row r="130" spans="1:19" x14ac:dyDescent="0.25">
      <c r="A130" s="26" t="s">
        <v>155</v>
      </c>
      <c r="B130" s="1" t="s">
        <v>14</v>
      </c>
      <c r="C130" s="27">
        <v>5050</v>
      </c>
      <c r="D130" s="27" t="s">
        <v>15</v>
      </c>
      <c r="E130" s="27" t="s">
        <v>27</v>
      </c>
      <c r="F130" s="27" t="s">
        <v>28</v>
      </c>
      <c r="G130" s="27" t="s">
        <v>143</v>
      </c>
      <c r="H130" s="3">
        <v>70</v>
      </c>
      <c r="I130" s="28">
        <f t="shared" si="20"/>
        <v>0.81600000000000006</v>
      </c>
      <c r="J130" s="29">
        <v>0.184</v>
      </c>
      <c r="K130" s="29">
        <f t="shared" si="26"/>
        <v>0.93499999999999994</v>
      </c>
      <c r="L130" s="30">
        <v>0.02</v>
      </c>
      <c r="M130" s="30">
        <v>4.4999999999999998E-2</v>
      </c>
      <c r="N130" s="31" t="s">
        <v>6</v>
      </c>
      <c r="O130" s="62"/>
      <c r="P130" s="64"/>
      <c r="Q130" s="8">
        <f t="shared" si="25"/>
        <v>25.510833333333334</v>
      </c>
      <c r="R130" s="8">
        <f t="shared" si="22"/>
        <v>0.545686274509804</v>
      </c>
      <c r="S130" s="8">
        <f t="shared" si="23"/>
        <v>1.2277941176470588</v>
      </c>
    </row>
    <row r="131" spans="1:19" x14ac:dyDescent="0.25">
      <c r="A131" s="26" t="s">
        <v>156</v>
      </c>
      <c r="B131" s="1" t="s">
        <v>14</v>
      </c>
      <c r="C131" s="3">
        <v>5050</v>
      </c>
      <c r="D131" s="3" t="s">
        <v>2</v>
      </c>
      <c r="E131" s="3" t="s">
        <v>33</v>
      </c>
      <c r="F131" s="3" t="s">
        <v>34</v>
      </c>
      <c r="G131" s="3" t="s">
        <v>137</v>
      </c>
      <c r="H131" s="3">
        <v>70</v>
      </c>
      <c r="I131" s="32">
        <f t="shared" si="20"/>
        <v>0.55000000000000004</v>
      </c>
      <c r="J131" s="33">
        <v>0.45</v>
      </c>
      <c r="K131" s="33">
        <f t="shared" si="26"/>
        <v>0.91749999999999998</v>
      </c>
      <c r="L131" s="33">
        <v>0.02</v>
      </c>
      <c r="M131" s="33">
        <v>6.25E-2</v>
      </c>
      <c r="N131" s="34" t="s">
        <v>6</v>
      </c>
      <c r="O131" s="62"/>
      <c r="P131" s="64"/>
      <c r="Q131" s="8">
        <f t="shared" si="25"/>
        <v>90.832499999999982</v>
      </c>
      <c r="R131" s="8">
        <f t="shared" si="22"/>
        <v>1.9799999999999998</v>
      </c>
      <c r="S131" s="8">
        <f t="shared" si="23"/>
        <v>6.1874999999999991</v>
      </c>
    </row>
    <row r="132" spans="1:19" x14ac:dyDescent="0.25">
      <c r="A132" s="26" t="s">
        <v>157</v>
      </c>
      <c r="B132" s="1" t="s">
        <v>14</v>
      </c>
      <c r="C132" s="3">
        <v>5050</v>
      </c>
      <c r="D132" s="3" t="s">
        <v>2</v>
      </c>
      <c r="E132" s="3" t="s">
        <v>33</v>
      </c>
      <c r="F132" s="3" t="s">
        <v>36</v>
      </c>
      <c r="G132" s="3" t="s">
        <v>137</v>
      </c>
      <c r="H132" s="3">
        <v>70</v>
      </c>
      <c r="I132" s="32">
        <f t="shared" si="20"/>
        <v>0.55000000000000004</v>
      </c>
      <c r="J132" s="33">
        <v>0.45</v>
      </c>
      <c r="K132" s="33">
        <f t="shared" si="26"/>
        <v>0.91749999999999998</v>
      </c>
      <c r="L132" s="33">
        <v>0.02</v>
      </c>
      <c r="M132" s="33">
        <v>6.25E-2</v>
      </c>
      <c r="N132" s="34" t="s">
        <v>6</v>
      </c>
      <c r="O132" s="62"/>
      <c r="P132" s="64"/>
      <c r="Q132" s="8">
        <f t="shared" si="25"/>
        <v>90.832499999999982</v>
      </c>
      <c r="R132" s="8">
        <f t="shared" si="22"/>
        <v>1.9799999999999998</v>
      </c>
      <c r="S132" s="8">
        <f t="shared" si="23"/>
        <v>6.1874999999999991</v>
      </c>
    </row>
    <row r="133" spans="1:19" x14ac:dyDescent="0.25">
      <c r="A133" s="26" t="s">
        <v>158</v>
      </c>
      <c r="B133" s="1" t="s">
        <v>14</v>
      </c>
      <c r="C133" s="2">
        <v>5050</v>
      </c>
      <c r="D133" s="2" t="s">
        <v>2</v>
      </c>
      <c r="E133" s="2" t="s">
        <v>33</v>
      </c>
      <c r="F133" s="2" t="s">
        <v>34</v>
      </c>
      <c r="G133" s="2" t="s">
        <v>139</v>
      </c>
      <c r="H133" s="3">
        <v>70</v>
      </c>
      <c r="I133" s="4">
        <f t="shared" si="20"/>
        <v>0.57000000000000006</v>
      </c>
      <c r="J133" s="5">
        <v>0.43</v>
      </c>
      <c r="K133" s="5">
        <f t="shared" si="26"/>
        <v>0.92620000000000002</v>
      </c>
      <c r="L133" s="5">
        <v>1.9999999999999997E-2</v>
      </c>
      <c r="M133" s="5">
        <v>5.3800000000000001E-2</v>
      </c>
      <c r="N133" s="6" t="s">
        <v>6</v>
      </c>
      <c r="O133" s="62"/>
      <c r="P133" s="64"/>
      <c r="Q133" s="8">
        <f t="shared" si="25"/>
        <v>84.544185964912273</v>
      </c>
      <c r="R133" s="8">
        <f t="shared" si="22"/>
        <v>1.8256140350877188</v>
      </c>
      <c r="S133" s="8">
        <f t="shared" si="23"/>
        <v>4.9109017543859643</v>
      </c>
    </row>
    <row r="134" spans="1:19" x14ac:dyDescent="0.25">
      <c r="A134" s="26" t="s">
        <v>159</v>
      </c>
      <c r="B134" s="1" t="s">
        <v>14</v>
      </c>
      <c r="C134" s="2">
        <v>5050</v>
      </c>
      <c r="D134" s="2" t="s">
        <v>2</v>
      </c>
      <c r="E134" s="2" t="s">
        <v>33</v>
      </c>
      <c r="F134" s="2" t="s">
        <v>36</v>
      </c>
      <c r="G134" s="2" t="s">
        <v>139</v>
      </c>
      <c r="H134" s="3">
        <v>70</v>
      </c>
      <c r="I134" s="4">
        <f t="shared" si="20"/>
        <v>0.57000000000000006</v>
      </c>
      <c r="J134" s="5">
        <v>0.43</v>
      </c>
      <c r="K134" s="5">
        <f t="shared" si="26"/>
        <v>0.92620000000000002</v>
      </c>
      <c r="L134" s="5">
        <v>1.9999999999999997E-2</v>
      </c>
      <c r="M134" s="5">
        <v>5.3800000000000001E-2</v>
      </c>
      <c r="N134" s="6" t="s">
        <v>6</v>
      </c>
      <c r="O134" s="62"/>
      <c r="P134" s="64"/>
      <c r="Q134" s="8">
        <f t="shared" si="25"/>
        <v>84.544185964912273</v>
      </c>
      <c r="R134" s="8">
        <f t="shared" si="22"/>
        <v>1.8256140350877188</v>
      </c>
      <c r="S134" s="8">
        <f t="shared" si="23"/>
        <v>4.9109017543859643</v>
      </c>
    </row>
    <row r="135" spans="1:19" x14ac:dyDescent="0.25">
      <c r="A135" s="26" t="s">
        <v>160</v>
      </c>
      <c r="B135" s="1" t="s">
        <v>14</v>
      </c>
      <c r="C135" s="3">
        <v>5050</v>
      </c>
      <c r="D135" s="3" t="s">
        <v>2</v>
      </c>
      <c r="E135" s="3" t="s">
        <v>33</v>
      </c>
      <c r="F135" s="3" t="s">
        <v>34</v>
      </c>
      <c r="G135" s="3" t="s">
        <v>141</v>
      </c>
      <c r="H135" s="3">
        <v>70</v>
      </c>
      <c r="I135" s="32">
        <f t="shared" si="20"/>
        <v>0.7</v>
      </c>
      <c r="J135" s="35">
        <v>0.3</v>
      </c>
      <c r="K135" s="33">
        <f t="shared" si="26"/>
        <v>0.93555555555555558</v>
      </c>
      <c r="L135" s="35">
        <v>0.02</v>
      </c>
      <c r="M135" s="35">
        <v>4.4444444444444446E-2</v>
      </c>
      <c r="N135" s="34" t="s">
        <v>6</v>
      </c>
      <c r="O135" s="62"/>
      <c r="P135" s="64"/>
      <c r="Q135" s="8">
        <f t="shared" si="25"/>
        <v>48.515238095238097</v>
      </c>
      <c r="R135" s="8">
        <f t="shared" si="22"/>
        <v>1.0371428571428571</v>
      </c>
      <c r="S135" s="8">
        <f t="shared" si="23"/>
        <v>2.3047619047619046</v>
      </c>
    </row>
    <row r="136" spans="1:19" x14ac:dyDescent="0.25">
      <c r="A136" s="26" t="s">
        <v>161</v>
      </c>
      <c r="B136" s="1" t="s">
        <v>14</v>
      </c>
      <c r="C136" s="3">
        <v>5050</v>
      </c>
      <c r="D136" s="3" t="s">
        <v>2</v>
      </c>
      <c r="E136" s="3" t="s">
        <v>33</v>
      </c>
      <c r="F136" s="3" t="s">
        <v>36</v>
      </c>
      <c r="G136" s="3" t="s">
        <v>141</v>
      </c>
      <c r="H136" s="3">
        <v>70</v>
      </c>
      <c r="I136" s="32">
        <f t="shared" si="20"/>
        <v>0.62</v>
      </c>
      <c r="J136" s="35">
        <v>0.38</v>
      </c>
      <c r="K136" s="33">
        <f t="shared" si="26"/>
        <v>0.67799999999999994</v>
      </c>
      <c r="L136" s="35">
        <v>0.3</v>
      </c>
      <c r="M136" s="35">
        <v>2.1999999999999999E-2</v>
      </c>
      <c r="N136" s="34" t="s">
        <v>6</v>
      </c>
      <c r="O136" s="62"/>
      <c r="P136" s="64"/>
      <c r="Q136" s="8">
        <f t="shared" si="25"/>
        <v>50.281354838709667</v>
      </c>
      <c r="R136" s="8">
        <f t="shared" si="22"/>
        <v>22.248387096774191</v>
      </c>
      <c r="S136" s="8">
        <f t="shared" si="23"/>
        <v>1.631548387096774</v>
      </c>
    </row>
    <row r="137" spans="1:19" x14ac:dyDescent="0.25">
      <c r="A137" s="26" t="s">
        <v>162</v>
      </c>
      <c r="B137" s="1" t="s">
        <v>14</v>
      </c>
      <c r="C137" s="2">
        <v>5050</v>
      </c>
      <c r="D137" s="2" t="s">
        <v>2</v>
      </c>
      <c r="E137" s="2" t="s">
        <v>33</v>
      </c>
      <c r="F137" s="2" t="s">
        <v>36</v>
      </c>
      <c r="G137" s="2" t="s">
        <v>143</v>
      </c>
      <c r="H137" s="3">
        <v>70</v>
      </c>
      <c r="I137" s="4">
        <f t="shared" si="20"/>
        <v>0.77</v>
      </c>
      <c r="J137" s="5">
        <v>0.23</v>
      </c>
      <c r="K137" s="5">
        <f>100%-L137-M137</f>
        <v>0.6</v>
      </c>
      <c r="L137" s="9">
        <v>0.378</v>
      </c>
      <c r="M137" s="9">
        <v>2.1999999999999999E-2</v>
      </c>
      <c r="N137" s="6" t="s">
        <v>6</v>
      </c>
      <c r="O137" s="62"/>
      <c r="P137" s="64"/>
      <c r="Q137" s="8">
        <f t="shared" si="25"/>
        <v>21.685714285714287</v>
      </c>
      <c r="R137" s="8">
        <f t="shared" si="22"/>
        <v>13.662000000000001</v>
      </c>
      <c r="S137" s="8">
        <f t="shared" si="23"/>
        <v>0.79514285714285715</v>
      </c>
    </row>
    <row r="138" spans="1:19" x14ac:dyDescent="0.25">
      <c r="A138" s="26" t="s">
        <v>163</v>
      </c>
      <c r="B138" s="1" t="s">
        <v>14</v>
      </c>
      <c r="C138" s="2">
        <v>5050</v>
      </c>
      <c r="D138" s="2" t="s">
        <v>2</v>
      </c>
      <c r="E138" s="2" t="s">
        <v>33</v>
      </c>
      <c r="F138" s="2" t="s">
        <v>34</v>
      </c>
      <c r="G138" s="2" t="s">
        <v>143</v>
      </c>
      <c r="H138" s="3">
        <v>70</v>
      </c>
      <c r="I138" s="4">
        <f t="shared" si="20"/>
        <v>0.76500000000000001</v>
      </c>
      <c r="J138" s="5">
        <v>0.23499999999999999</v>
      </c>
      <c r="K138" s="5">
        <f>100%-L138-M138</f>
        <v>0.94430000000000003</v>
      </c>
      <c r="L138" s="9">
        <v>0.02</v>
      </c>
      <c r="M138" s="9">
        <v>3.5700000000000003E-2</v>
      </c>
      <c r="N138" s="6" t="s">
        <v>6</v>
      </c>
      <c r="O138" s="62"/>
      <c r="P138" s="64"/>
      <c r="Q138" s="8">
        <f t="shared" si="25"/>
        <v>35.099569281045753</v>
      </c>
      <c r="R138" s="8">
        <f t="shared" si="22"/>
        <v>0.74339869281045756</v>
      </c>
      <c r="S138" s="8">
        <f t="shared" si="23"/>
        <v>1.3269666666666668</v>
      </c>
    </row>
    <row r="139" spans="1:19" x14ac:dyDescent="0.25">
      <c r="A139" s="26" t="s">
        <v>164</v>
      </c>
      <c r="B139" s="1" t="s">
        <v>14</v>
      </c>
      <c r="C139" s="3">
        <v>5050</v>
      </c>
      <c r="D139" s="3" t="s">
        <v>15</v>
      </c>
      <c r="E139" s="3" t="s">
        <v>33</v>
      </c>
      <c r="F139" s="3" t="s">
        <v>34</v>
      </c>
      <c r="G139" s="3" t="s">
        <v>137</v>
      </c>
      <c r="H139" s="3">
        <v>70</v>
      </c>
      <c r="I139" s="32">
        <f t="shared" si="20"/>
        <v>0.62</v>
      </c>
      <c r="J139" s="33">
        <v>0.38</v>
      </c>
      <c r="K139" s="33">
        <f t="shared" ref="K139:K159" si="27">100%-L139-M139</f>
        <v>0.58099999999999996</v>
      </c>
      <c r="L139" s="36">
        <v>0.35</v>
      </c>
      <c r="M139" s="36">
        <v>6.9000000000000006E-2</v>
      </c>
      <c r="N139" s="34" t="s">
        <v>6</v>
      </c>
      <c r="O139" s="62"/>
      <c r="P139" s="64"/>
      <c r="Q139" s="8">
        <f t="shared" si="25"/>
        <v>43.087709677419348</v>
      </c>
      <c r="R139" s="8">
        <f t="shared" si="22"/>
        <v>25.956451612903223</v>
      </c>
      <c r="S139" s="8">
        <f t="shared" si="23"/>
        <v>5.1171290322580649</v>
      </c>
    </row>
    <row r="140" spans="1:19" x14ac:dyDescent="0.25">
      <c r="A140" s="26" t="s">
        <v>165</v>
      </c>
      <c r="B140" s="1" t="s">
        <v>14</v>
      </c>
      <c r="C140" s="3">
        <v>5050</v>
      </c>
      <c r="D140" s="3" t="s">
        <v>15</v>
      </c>
      <c r="E140" s="3" t="s">
        <v>33</v>
      </c>
      <c r="F140" s="3" t="s">
        <v>36</v>
      </c>
      <c r="G140" s="3" t="s">
        <v>137</v>
      </c>
      <c r="H140" s="3">
        <v>70</v>
      </c>
      <c r="I140" s="32">
        <f t="shared" si="20"/>
        <v>0.55000000000000004</v>
      </c>
      <c r="J140" s="33">
        <v>0.45</v>
      </c>
      <c r="K140" s="33">
        <f t="shared" si="27"/>
        <v>0.91749999999999998</v>
      </c>
      <c r="L140" s="36">
        <v>0.02</v>
      </c>
      <c r="M140" s="36">
        <v>6.25E-2</v>
      </c>
      <c r="N140" s="34" t="s">
        <v>6</v>
      </c>
      <c r="O140" s="62"/>
      <c r="P140" s="64"/>
      <c r="Q140" s="8">
        <f t="shared" si="25"/>
        <v>90.832499999999982</v>
      </c>
      <c r="R140" s="8">
        <f t="shared" si="22"/>
        <v>1.9799999999999998</v>
      </c>
      <c r="S140" s="8">
        <f t="shared" si="23"/>
        <v>6.1874999999999991</v>
      </c>
    </row>
    <row r="141" spans="1:19" x14ac:dyDescent="0.25">
      <c r="A141" s="26" t="s">
        <v>166</v>
      </c>
      <c r="B141" s="1" t="s">
        <v>14</v>
      </c>
      <c r="C141" s="3">
        <v>5050</v>
      </c>
      <c r="D141" s="3" t="s">
        <v>15</v>
      </c>
      <c r="E141" s="3" t="s">
        <v>33</v>
      </c>
      <c r="F141" s="3" t="s">
        <v>34</v>
      </c>
      <c r="G141" s="3" t="s">
        <v>139</v>
      </c>
      <c r="H141" s="3">
        <v>70</v>
      </c>
      <c r="I141" s="32">
        <f t="shared" si="20"/>
        <v>0.625</v>
      </c>
      <c r="J141" s="33">
        <v>0.375</v>
      </c>
      <c r="K141" s="33">
        <f t="shared" si="27"/>
        <v>0.64399999999999991</v>
      </c>
      <c r="L141" s="36">
        <v>0.3</v>
      </c>
      <c r="M141" s="36">
        <v>5.6000000000000001E-2</v>
      </c>
      <c r="N141" s="34" t="s">
        <v>6</v>
      </c>
      <c r="O141" s="62"/>
      <c r="P141" s="64"/>
      <c r="Q141" s="8">
        <f t="shared" si="25"/>
        <v>46.75439999999999</v>
      </c>
      <c r="R141" s="8">
        <f t="shared" si="22"/>
        <v>21.779999999999998</v>
      </c>
      <c r="S141" s="8">
        <f t="shared" si="23"/>
        <v>4.0655999999999999</v>
      </c>
    </row>
    <row r="142" spans="1:19" x14ac:dyDescent="0.25">
      <c r="A142" s="26" t="s">
        <v>167</v>
      </c>
      <c r="B142" s="1" t="s">
        <v>14</v>
      </c>
      <c r="C142" s="3">
        <v>5050</v>
      </c>
      <c r="D142" s="3" t="s">
        <v>15</v>
      </c>
      <c r="E142" s="3" t="s">
        <v>33</v>
      </c>
      <c r="F142" s="3" t="s">
        <v>36</v>
      </c>
      <c r="G142" s="3" t="s">
        <v>139</v>
      </c>
      <c r="H142" s="3">
        <v>70</v>
      </c>
      <c r="I142" s="32">
        <f t="shared" si="20"/>
        <v>0.625</v>
      </c>
      <c r="J142" s="33">
        <v>0.375</v>
      </c>
      <c r="K142" s="33">
        <f t="shared" si="27"/>
        <v>0.64399999999999991</v>
      </c>
      <c r="L142" s="36">
        <v>0.3</v>
      </c>
      <c r="M142" s="36">
        <v>5.6000000000000001E-2</v>
      </c>
      <c r="N142" s="34" t="s">
        <v>6</v>
      </c>
      <c r="O142" s="62"/>
      <c r="P142" s="64"/>
      <c r="Q142" s="8">
        <f t="shared" si="25"/>
        <v>46.75439999999999</v>
      </c>
      <c r="R142" s="8">
        <f t="shared" si="22"/>
        <v>21.779999999999998</v>
      </c>
      <c r="S142" s="8">
        <f t="shared" si="23"/>
        <v>4.0655999999999999</v>
      </c>
    </row>
    <row r="143" spans="1:19" x14ac:dyDescent="0.25">
      <c r="A143" s="26" t="s">
        <v>168</v>
      </c>
      <c r="B143" s="1" t="s">
        <v>14</v>
      </c>
      <c r="C143" s="2">
        <v>5050</v>
      </c>
      <c r="D143" s="2" t="s">
        <v>15</v>
      </c>
      <c r="E143" s="2" t="s">
        <v>33</v>
      </c>
      <c r="F143" s="2" t="s">
        <v>34</v>
      </c>
      <c r="G143" s="2" t="s">
        <v>141</v>
      </c>
      <c r="H143" s="3">
        <v>70</v>
      </c>
      <c r="I143" s="4">
        <f t="shared" si="20"/>
        <v>0.745</v>
      </c>
      <c r="J143" s="9">
        <v>0.255</v>
      </c>
      <c r="K143" s="5">
        <f t="shared" si="27"/>
        <v>0.51500000000000001</v>
      </c>
      <c r="L143" s="24">
        <v>0.45</v>
      </c>
      <c r="M143" s="24">
        <v>3.5000000000000003E-2</v>
      </c>
      <c r="N143" s="6" t="s">
        <v>6</v>
      </c>
      <c r="O143" s="62"/>
      <c r="P143" s="64"/>
      <c r="Q143" s="8">
        <f t="shared" si="25"/>
        <v>21.329295302013424</v>
      </c>
      <c r="R143" s="8">
        <f t="shared" si="22"/>
        <v>18.637248322147652</v>
      </c>
      <c r="S143" s="8">
        <f t="shared" si="23"/>
        <v>1.449563758389262</v>
      </c>
    </row>
    <row r="144" spans="1:19" x14ac:dyDescent="0.25">
      <c r="A144" s="26" t="s">
        <v>169</v>
      </c>
      <c r="B144" s="1" t="s">
        <v>14</v>
      </c>
      <c r="C144" s="2">
        <v>5050</v>
      </c>
      <c r="D144" s="2" t="s">
        <v>15</v>
      </c>
      <c r="E144" s="2" t="s">
        <v>33</v>
      </c>
      <c r="F144" s="2" t="s">
        <v>36</v>
      </c>
      <c r="G144" s="2" t="s">
        <v>141</v>
      </c>
      <c r="H144" s="3">
        <v>70</v>
      </c>
      <c r="I144" s="4">
        <f t="shared" si="20"/>
        <v>0.73</v>
      </c>
      <c r="J144" s="9">
        <v>0.27</v>
      </c>
      <c r="K144" s="5">
        <f t="shared" si="27"/>
        <v>0.61</v>
      </c>
      <c r="L144" s="24">
        <v>0.35</v>
      </c>
      <c r="M144" s="24">
        <v>0.04</v>
      </c>
      <c r="N144" s="6" t="s">
        <v>24</v>
      </c>
      <c r="O144" s="62"/>
      <c r="P144" s="64"/>
      <c r="Q144" s="8">
        <f t="shared" si="25"/>
        <v>27.299589041095896</v>
      </c>
      <c r="R144" s="8">
        <f t="shared" si="22"/>
        <v>15.663698630136988</v>
      </c>
      <c r="S144" s="8">
        <f t="shared" si="23"/>
        <v>1.7901369863013701</v>
      </c>
    </row>
    <row r="145" spans="1:19" x14ac:dyDescent="0.25">
      <c r="A145" s="26" t="s">
        <v>170</v>
      </c>
      <c r="B145" s="1" t="s">
        <v>1</v>
      </c>
      <c r="C145" s="2">
        <v>5050</v>
      </c>
      <c r="D145" s="2" t="s">
        <v>15</v>
      </c>
      <c r="E145" s="2" t="s">
        <v>51</v>
      </c>
      <c r="F145" s="2" t="s">
        <v>52</v>
      </c>
      <c r="G145" s="2" t="s">
        <v>141</v>
      </c>
      <c r="H145" s="3">
        <v>70</v>
      </c>
      <c r="I145" s="4">
        <f t="shared" si="20"/>
        <v>0.77</v>
      </c>
      <c r="J145" s="9">
        <v>0.23</v>
      </c>
      <c r="K145" s="5">
        <f t="shared" si="27"/>
        <v>0.5595</v>
      </c>
      <c r="L145" s="24">
        <v>0.4</v>
      </c>
      <c r="M145" s="24">
        <v>4.0500000000000001E-2</v>
      </c>
      <c r="N145" s="6" t="s">
        <v>6</v>
      </c>
      <c r="O145" s="62"/>
      <c r="P145" s="64"/>
      <c r="Q145" s="8">
        <f t="shared" si="25"/>
        <v>20.221928571428574</v>
      </c>
      <c r="R145" s="8">
        <f t="shared" si="22"/>
        <v>14.457142857142859</v>
      </c>
      <c r="S145" s="8">
        <f t="shared" si="23"/>
        <v>1.4637857142857145</v>
      </c>
    </row>
    <row r="146" spans="1:19" x14ac:dyDescent="0.25">
      <c r="A146" s="26" t="s">
        <v>171</v>
      </c>
      <c r="B146" s="1" t="s">
        <v>14</v>
      </c>
      <c r="C146" s="3">
        <v>5050</v>
      </c>
      <c r="D146" s="3" t="s">
        <v>15</v>
      </c>
      <c r="E146" s="3" t="s">
        <v>54</v>
      </c>
      <c r="F146" s="3" t="s">
        <v>36</v>
      </c>
      <c r="G146" s="37" t="s">
        <v>143</v>
      </c>
      <c r="H146" s="3">
        <v>70</v>
      </c>
      <c r="I146" s="32">
        <f t="shared" si="20"/>
        <v>0.75</v>
      </c>
      <c r="J146" s="33">
        <v>0.25</v>
      </c>
      <c r="K146" s="33">
        <f t="shared" si="27"/>
        <v>0.77700000000000002</v>
      </c>
      <c r="L146" s="36">
        <v>0.2</v>
      </c>
      <c r="M146" s="36">
        <v>2.3E-2</v>
      </c>
      <c r="N146" s="34" t="s">
        <v>6</v>
      </c>
      <c r="O146" s="62"/>
      <c r="P146" s="64"/>
      <c r="Q146" s="8">
        <f t="shared" si="25"/>
        <v>31.339000000000002</v>
      </c>
      <c r="R146" s="8">
        <f t="shared" si="22"/>
        <v>8.0666666666666682</v>
      </c>
      <c r="S146" s="8">
        <f t="shared" si="23"/>
        <v>0.92766666666666675</v>
      </c>
    </row>
    <row r="147" spans="1:19" x14ac:dyDescent="0.25">
      <c r="A147" s="26" t="s">
        <v>172</v>
      </c>
      <c r="B147" s="1" t="s">
        <v>14</v>
      </c>
      <c r="C147" s="3">
        <v>5050</v>
      </c>
      <c r="D147" s="3" t="s">
        <v>15</v>
      </c>
      <c r="E147" s="3" t="s">
        <v>54</v>
      </c>
      <c r="F147" s="3" t="s">
        <v>34</v>
      </c>
      <c r="G147" s="37" t="s">
        <v>143</v>
      </c>
      <c r="H147" s="3">
        <v>70</v>
      </c>
      <c r="I147" s="32">
        <f t="shared" si="20"/>
        <v>0.82000000000000006</v>
      </c>
      <c r="J147" s="33">
        <v>0.18</v>
      </c>
      <c r="K147" s="33">
        <f t="shared" si="27"/>
        <v>0.93299999999999994</v>
      </c>
      <c r="L147" s="36">
        <v>0.02</v>
      </c>
      <c r="M147" s="36">
        <v>4.7E-2</v>
      </c>
      <c r="N147" s="34" t="s">
        <v>6</v>
      </c>
      <c r="O147" s="62"/>
      <c r="P147" s="64"/>
      <c r="Q147" s="8">
        <f t="shared" si="25"/>
        <v>24.781390243902436</v>
      </c>
      <c r="R147" s="8">
        <f t="shared" si="22"/>
        <v>0.53121951219512187</v>
      </c>
      <c r="S147" s="8">
        <f t="shared" si="23"/>
        <v>1.2483658536585365</v>
      </c>
    </row>
    <row r="148" spans="1:19" x14ac:dyDescent="0.25">
      <c r="A148" s="1" t="s">
        <v>173</v>
      </c>
      <c r="B148" s="1" t="s">
        <v>1</v>
      </c>
      <c r="C148" s="2">
        <v>2835</v>
      </c>
      <c r="D148" s="2" t="s">
        <v>2</v>
      </c>
      <c r="E148" s="2" t="s">
        <v>3</v>
      </c>
      <c r="F148" s="2" t="s">
        <v>4</v>
      </c>
      <c r="G148" s="2" t="s">
        <v>137</v>
      </c>
      <c r="H148" s="3">
        <v>80</v>
      </c>
      <c r="I148" s="4">
        <f t="shared" si="20"/>
        <v>0.46499999999999997</v>
      </c>
      <c r="J148" s="5">
        <v>0.53500000000000003</v>
      </c>
      <c r="K148" s="5">
        <f t="shared" si="27"/>
        <v>0.91549999999999998</v>
      </c>
      <c r="L148" s="5">
        <v>2.5000000000000001E-2</v>
      </c>
      <c r="M148" s="5">
        <v>5.9499999999999997E-2</v>
      </c>
      <c r="N148" s="6" t="s">
        <v>6</v>
      </c>
      <c r="O148" s="62"/>
      <c r="P148" s="64"/>
      <c r="Q148" s="8">
        <f t="shared" si="25"/>
        <v>127.45138172043013</v>
      </c>
      <c r="R148" s="8">
        <f t="shared" si="22"/>
        <v>3.4803763440860225</v>
      </c>
      <c r="S148" s="8">
        <f t="shared" si="23"/>
        <v>8.2832956989247322</v>
      </c>
    </row>
    <row r="149" spans="1:19" x14ac:dyDescent="0.25">
      <c r="A149" s="1" t="s">
        <v>174</v>
      </c>
      <c r="B149" s="1" t="s">
        <v>1</v>
      </c>
      <c r="C149" s="2">
        <v>2835</v>
      </c>
      <c r="D149" s="2" t="s">
        <v>2</v>
      </c>
      <c r="E149" s="2" t="s">
        <v>3</v>
      </c>
      <c r="F149" s="2" t="s">
        <v>4</v>
      </c>
      <c r="G149" s="2" t="s">
        <v>139</v>
      </c>
      <c r="H149" s="3">
        <v>80</v>
      </c>
      <c r="I149" s="4">
        <f t="shared" si="20"/>
        <v>0.59000000000000008</v>
      </c>
      <c r="J149" s="5">
        <v>0.41</v>
      </c>
      <c r="K149" s="5">
        <f t="shared" si="27"/>
        <v>0.92449999999999999</v>
      </c>
      <c r="L149" s="5">
        <v>0.02</v>
      </c>
      <c r="M149" s="5">
        <v>5.5500000000000001E-2</v>
      </c>
      <c r="N149" s="6" t="s">
        <v>6</v>
      </c>
      <c r="O149" s="62"/>
      <c r="P149" s="64"/>
      <c r="Q149" s="8">
        <f t="shared" si="25"/>
        <v>77.736347457627105</v>
      </c>
      <c r="R149" s="8">
        <f t="shared" si="22"/>
        <v>1.6816949152542371</v>
      </c>
      <c r="S149" s="8">
        <f t="shared" si="23"/>
        <v>4.6667033898305075</v>
      </c>
    </row>
    <row r="150" spans="1:19" x14ac:dyDescent="0.25">
      <c r="A150" s="1" t="s">
        <v>175</v>
      </c>
      <c r="B150" s="1" t="s">
        <v>1</v>
      </c>
      <c r="C150" s="2">
        <v>2835</v>
      </c>
      <c r="D150" s="2" t="s">
        <v>2</v>
      </c>
      <c r="E150" s="2" t="s">
        <v>3</v>
      </c>
      <c r="F150" s="2" t="s">
        <v>4</v>
      </c>
      <c r="G150" s="2" t="s">
        <v>141</v>
      </c>
      <c r="H150" s="3">
        <v>80</v>
      </c>
      <c r="I150" s="4">
        <f t="shared" si="20"/>
        <v>0.60499999999999998</v>
      </c>
      <c r="J150" s="9">
        <v>0.39500000000000002</v>
      </c>
      <c r="K150" s="5">
        <f t="shared" si="27"/>
        <v>5.6999999999999981E-2</v>
      </c>
      <c r="L150" s="9">
        <v>0.89800000000000002</v>
      </c>
      <c r="M150" s="9">
        <v>4.4999999999999998E-2</v>
      </c>
      <c r="N150" s="6" t="s">
        <v>6</v>
      </c>
      <c r="O150" s="62"/>
      <c r="P150" s="64"/>
      <c r="Q150" s="8">
        <f t="shared" si="25"/>
        <v>4.5029999999999983</v>
      </c>
      <c r="R150" s="8">
        <f t="shared" si="22"/>
        <v>70.942000000000007</v>
      </c>
      <c r="S150" s="8">
        <f t="shared" si="23"/>
        <v>3.5549999999999997</v>
      </c>
    </row>
    <row r="151" spans="1:19" x14ac:dyDescent="0.25">
      <c r="A151" s="10" t="s">
        <v>176</v>
      </c>
      <c r="B151" s="1" t="s">
        <v>1</v>
      </c>
      <c r="C151" s="2">
        <v>2835</v>
      </c>
      <c r="D151" s="2" t="s">
        <v>2</v>
      </c>
      <c r="E151" s="2" t="s">
        <v>3</v>
      </c>
      <c r="F151" s="2" t="s">
        <v>4</v>
      </c>
      <c r="G151" s="2" t="s">
        <v>143</v>
      </c>
      <c r="H151" s="3">
        <v>80</v>
      </c>
      <c r="I151" s="4">
        <f t="shared" si="20"/>
        <v>0.68500000000000005</v>
      </c>
      <c r="J151" s="9">
        <v>0.315</v>
      </c>
      <c r="K151" s="5">
        <f t="shared" si="27"/>
        <v>5.0000000000000024E-2</v>
      </c>
      <c r="L151" s="9">
        <v>0.91449999999999998</v>
      </c>
      <c r="M151" s="9">
        <v>3.5499999999999997E-2</v>
      </c>
      <c r="N151" s="6" t="s">
        <v>6</v>
      </c>
      <c r="O151" s="62"/>
      <c r="P151" s="64"/>
      <c r="Q151" s="8">
        <f t="shared" si="25"/>
        <v>2.782116788321169</v>
      </c>
      <c r="R151" s="8">
        <f t="shared" si="22"/>
        <v>50.884916058394154</v>
      </c>
      <c r="S151" s="8">
        <f t="shared" si="23"/>
        <v>1.9753029197080287</v>
      </c>
    </row>
    <row r="152" spans="1:19" x14ac:dyDescent="0.25">
      <c r="A152" s="1" t="s">
        <v>177</v>
      </c>
      <c r="B152" s="1" t="s">
        <v>14</v>
      </c>
      <c r="C152" s="1">
        <v>3030</v>
      </c>
      <c r="D152" s="1" t="s">
        <v>15</v>
      </c>
      <c r="E152" s="1" t="s">
        <v>3</v>
      </c>
      <c r="F152" s="1" t="s">
        <v>4</v>
      </c>
      <c r="G152" s="1" t="s">
        <v>137</v>
      </c>
      <c r="H152" s="3">
        <v>80</v>
      </c>
      <c r="I152" s="11">
        <f t="shared" si="20"/>
        <v>0.63</v>
      </c>
      <c r="J152" s="12">
        <v>0.37</v>
      </c>
      <c r="K152" s="12">
        <f t="shared" si="27"/>
        <v>0.89304347826086961</v>
      </c>
      <c r="L152" s="13">
        <v>0.02</v>
      </c>
      <c r="M152" s="13">
        <v>8.6956521739130432E-2</v>
      </c>
      <c r="N152" s="6" t="s">
        <v>6</v>
      </c>
      <c r="O152" s="62"/>
      <c r="P152" s="64"/>
      <c r="Q152" s="8">
        <f t="shared" si="25"/>
        <v>63.462788129744652</v>
      </c>
      <c r="R152" s="8">
        <f t="shared" si="22"/>
        <v>1.4212698412698412</v>
      </c>
      <c r="S152" s="8">
        <f t="shared" si="23"/>
        <v>6.1794340924775701</v>
      </c>
    </row>
    <row r="153" spans="1:19" x14ac:dyDescent="0.25">
      <c r="A153" s="1" t="s">
        <v>178</v>
      </c>
      <c r="B153" s="1" t="s">
        <v>14</v>
      </c>
      <c r="C153" s="14">
        <v>3030</v>
      </c>
      <c r="D153" s="14" t="s">
        <v>15</v>
      </c>
      <c r="E153" s="14" t="s">
        <v>3</v>
      </c>
      <c r="F153" s="14" t="s">
        <v>4</v>
      </c>
      <c r="G153" s="14" t="s">
        <v>139</v>
      </c>
      <c r="H153" s="3">
        <v>80</v>
      </c>
      <c r="I153" s="15">
        <f>100%-J153</f>
        <v>0.52</v>
      </c>
      <c r="J153" s="16">
        <v>0.48</v>
      </c>
      <c r="K153" s="16">
        <f t="shared" si="27"/>
        <v>0.54149999999999998</v>
      </c>
      <c r="L153" s="17">
        <v>0.4</v>
      </c>
      <c r="M153" s="17">
        <v>5.8500000000000003E-2</v>
      </c>
      <c r="N153" s="18" t="s">
        <v>6</v>
      </c>
      <c r="O153" s="62"/>
      <c r="P153" s="64"/>
      <c r="Q153" s="8">
        <f t="shared" si="25"/>
        <v>60.481384615384606</v>
      </c>
      <c r="R153" s="8">
        <f t="shared" si="22"/>
        <v>44.676923076923075</v>
      </c>
      <c r="S153" s="8">
        <f t="shared" si="23"/>
        <v>6.5339999999999998</v>
      </c>
    </row>
    <row r="154" spans="1:19" x14ac:dyDescent="0.25">
      <c r="A154" s="1" t="s">
        <v>179</v>
      </c>
      <c r="B154" s="1" t="s">
        <v>14</v>
      </c>
      <c r="C154" s="19">
        <v>3030</v>
      </c>
      <c r="D154" s="19" t="s">
        <v>15</v>
      </c>
      <c r="E154" s="19" t="s">
        <v>3</v>
      </c>
      <c r="F154" s="19" t="s">
        <v>4</v>
      </c>
      <c r="G154" s="19" t="s">
        <v>141</v>
      </c>
      <c r="H154" s="3">
        <v>80</v>
      </c>
      <c r="I154" s="20">
        <f t="shared" ref="I154:I160" si="28">100%-J154</f>
        <v>0.6</v>
      </c>
      <c r="J154" s="16">
        <v>0.4</v>
      </c>
      <c r="K154" s="21">
        <f t="shared" si="27"/>
        <v>0.55799999999999994</v>
      </c>
      <c r="L154" s="22">
        <v>0.4</v>
      </c>
      <c r="M154" s="22">
        <v>4.2000000000000003E-2</v>
      </c>
      <c r="N154" s="18" t="s">
        <v>6</v>
      </c>
      <c r="O154" s="62"/>
      <c r="P154" s="64"/>
      <c r="Q154" s="8">
        <f t="shared" si="25"/>
        <v>45.012000000000008</v>
      </c>
      <c r="R154" s="8">
        <f t="shared" si="22"/>
        <v>32.266666666666673</v>
      </c>
      <c r="S154" s="8">
        <f t="shared" si="23"/>
        <v>3.3880000000000008</v>
      </c>
    </row>
    <row r="155" spans="1:19" x14ac:dyDescent="0.25">
      <c r="A155" s="1" t="s">
        <v>180</v>
      </c>
      <c r="B155" s="1" t="s">
        <v>14</v>
      </c>
      <c r="C155" s="2">
        <v>3030</v>
      </c>
      <c r="D155" s="2" t="s">
        <v>15</v>
      </c>
      <c r="E155" s="2" t="s">
        <v>3</v>
      </c>
      <c r="F155" s="2" t="s">
        <v>4</v>
      </c>
      <c r="G155" s="23" t="s">
        <v>143</v>
      </c>
      <c r="H155" s="3">
        <v>80</v>
      </c>
      <c r="I155" s="4">
        <f t="shared" si="28"/>
        <v>0.67300000000000004</v>
      </c>
      <c r="J155" s="9">
        <v>0.32700000000000001</v>
      </c>
      <c r="K155" s="5">
        <f t="shared" si="27"/>
        <v>0.56499999999999995</v>
      </c>
      <c r="L155" s="24">
        <v>0.4</v>
      </c>
      <c r="M155" s="24">
        <v>3.5000000000000003E-2</v>
      </c>
      <c r="N155" s="6" t="s">
        <v>6</v>
      </c>
      <c r="O155" s="62"/>
      <c r="P155" s="64"/>
      <c r="Q155" s="8">
        <f t="shared" si="25"/>
        <v>33.217466567607723</v>
      </c>
      <c r="R155" s="8">
        <f t="shared" si="22"/>
        <v>23.516790490341755</v>
      </c>
      <c r="S155" s="8">
        <f t="shared" si="23"/>
        <v>2.0577191679049038</v>
      </c>
    </row>
    <row r="156" spans="1:19" x14ac:dyDescent="0.25">
      <c r="A156" s="1" t="s">
        <v>181</v>
      </c>
      <c r="B156" s="1" t="s">
        <v>14</v>
      </c>
      <c r="C156" s="19">
        <v>3030</v>
      </c>
      <c r="D156" s="19" t="s">
        <v>15</v>
      </c>
      <c r="E156" s="19" t="s">
        <v>20</v>
      </c>
      <c r="F156" s="19" t="s">
        <v>21</v>
      </c>
      <c r="G156" s="19" t="s">
        <v>137</v>
      </c>
      <c r="H156" s="3">
        <v>80</v>
      </c>
      <c r="I156" s="20">
        <f t="shared" si="28"/>
        <v>0.53</v>
      </c>
      <c r="J156" s="21">
        <v>0.47</v>
      </c>
      <c r="K156" s="21">
        <f t="shared" si="27"/>
        <v>0.90500000000000003</v>
      </c>
      <c r="L156" s="25">
        <v>0.02</v>
      </c>
      <c r="M156" s="25">
        <v>7.4999999999999997E-2</v>
      </c>
      <c r="N156" s="18" t="s">
        <v>6</v>
      </c>
      <c r="O156" s="62"/>
      <c r="P156" s="64"/>
      <c r="Q156" s="8">
        <f t="shared" si="25"/>
        <v>97.108207547169798</v>
      </c>
      <c r="R156" s="8">
        <f t="shared" si="22"/>
        <v>2.1460377358490565</v>
      </c>
      <c r="S156" s="8">
        <f t="shared" si="23"/>
        <v>8.0476415094339604</v>
      </c>
    </row>
    <row r="157" spans="1:19" x14ac:dyDescent="0.25">
      <c r="A157" s="1" t="s">
        <v>182</v>
      </c>
      <c r="B157" s="1" t="s">
        <v>14</v>
      </c>
      <c r="C157" s="2">
        <v>3030</v>
      </c>
      <c r="D157" s="2" t="s">
        <v>15</v>
      </c>
      <c r="E157" s="2" t="s">
        <v>20</v>
      </c>
      <c r="F157" s="2" t="s">
        <v>21</v>
      </c>
      <c r="G157" s="2" t="s">
        <v>139</v>
      </c>
      <c r="H157" s="3">
        <v>80</v>
      </c>
      <c r="I157" s="4">
        <f t="shared" si="28"/>
        <v>0.61</v>
      </c>
      <c r="J157" s="5">
        <v>0.39</v>
      </c>
      <c r="K157" s="5">
        <f t="shared" si="27"/>
        <v>0.50700000000000012</v>
      </c>
      <c r="L157" s="5">
        <v>0.43</v>
      </c>
      <c r="M157" s="5">
        <v>6.3E-2</v>
      </c>
      <c r="N157" s="6" t="s">
        <v>6</v>
      </c>
      <c r="O157" s="62"/>
      <c r="P157" s="64"/>
      <c r="Q157" s="8">
        <f t="shared" si="25"/>
        <v>39.221852459016404</v>
      </c>
      <c r="R157" s="8">
        <f t="shared" si="22"/>
        <v>33.265081967213114</v>
      </c>
      <c r="S157" s="8">
        <f t="shared" si="23"/>
        <v>4.8737213114754097</v>
      </c>
    </row>
    <row r="158" spans="1:19" x14ac:dyDescent="0.25">
      <c r="A158" s="1" t="s">
        <v>183</v>
      </c>
      <c r="B158" s="1" t="s">
        <v>14</v>
      </c>
      <c r="C158" s="19">
        <v>3030</v>
      </c>
      <c r="D158" s="19" t="s">
        <v>15</v>
      </c>
      <c r="E158" s="19" t="s">
        <v>20</v>
      </c>
      <c r="F158" s="19" t="s">
        <v>21</v>
      </c>
      <c r="G158" s="19" t="s">
        <v>141</v>
      </c>
      <c r="H158" s="3">
        <v>80</v>
      </c>
      <c r="I158" s="20">
        <f t="shared" si="28"/>
        <v>0.625</v>
      </c>
      <c r="J158" s="16">
        <v>0.375</v>
      </c>
      <c r="K158" s="21">
        <f t="shared" si="27"/>
        <v>0.51999999999999991</v>
      </c>
      <c r="L158" s="22">
        <v>0.43099999999999999</v>
      </c>
      <c r="M158" s="22">
        <v>4.9000000000000002E-2</v>
      </c>
      <c r="N158" s="18" t="s">
        <v>6</v>
      </c>
      <c r="O158" s="62"/>
      <c r="P158" s="64"/>
      <c r="Q158" s="8">
        <f t="shared" si="25"/>
        <v>37.751999999999988</v>
      </c>
      <c r="R158" s="8">
        <f t="shared" si="22"/>
        <v>31.290599999999998</v>
      </c>
      <c r="S158" s="8">
        <f t="shared" si="23"/>
        <v>3.5573999999999999</v>
      </c>
    </row>
    <row r="159" spans="1:19" x14ac:dyDescent="0.25">
      <c r="A159" s="1" t="s">
        <v>184</v>
      </c>
      <c r="B159" s="1" t="s">
        <v>14</v>
      </c>
      <c r="C159" s="19">
        <v>3030</v>
      </c>
      <c r="D159" s="19" t="s">
        <v>15</v>
      </c>
      <c r="E159" s="19" t="s">
        <v>20</v>
      </c>
      <c r="F159" s="19" t="s">
        <v>21</v>
      </c>
      <c r="G159" s="19" t="s">
        <v>143</v>
      </c>
      <c r="H159" s="3">
        <v>80</v>
      </c>
      <c r="I159" s="20">
        <f t="shared" si="28"/>
        <v>0.7</v>
      </c>
      <c r="J159" s="21">
        <v>0.3</v>
      </c>
      <c r="K159" s="21">
        <f t="shared" si="27"/>
        <v>0.5605</v>
      </c>
      <c r="L159" s="21">
        <v>0.4</v>
      </c>
      <c r="M159" s="21">
        <v>3.95E-2</v>
      </c>
      <c r="N159" s="18" t="s">
        <v>6</v>
      </c>
      <c r="O159" s="62"/>
      <c r="P159" s="64"/>
      <c r="Q159" s="8">
        <f t="shared" si="25"/>
        <v>29.065928571428568</v>
      </c>
      <c r="R159" s="8">
        <f t="shared" si="22"/>
        <v>20.742857142857144</v>
      </c>
      <c r="S159" s="8">
        <f t="shared" si="23"/>
        <v>2.0483571428571428</v>
      </c>
    </row>
    <row r="160" spans="1:19" x14ac:dyDescent="0.25">
      <c r="A160" s="26" t="s">
        <v>185</v>
      </c>
      <c r="B160" s="1" t="s">
        <v>14</v>
      </c>
      <c r="C160" s="1">
        <v>5050</v>
      </c>
      <c r="D160" s="1" t="s">
        <v>15</v>
      </c>
      <c r="E160" s="1" t="s">
        <v>27</v>
      </c>
      <c r="F160" s="1" t="s">
        <v>28</v>
      </c>
      <c r="G160" s="1" t="s">
        <v>137</v>
      </c>
      <c r="H160" s="3">
        <v>80</v>
      </c>
      <c r="I160" s="11">
        <f t="shared" si="28"/>
        <v>0.53499999999999992</v>
      </c>
      <c r="J160" s="12">
        <v>0.46500000000000002</v>
      </c>
      <c r="K160" s="12">
        <f>100%-L160-M160</f>
        <v>0.90749999999999997</v>
      </c>
      <c r="L160" s="13">
        <v>0.02</v>
      </c>
      <c r="M160" s="13">
        <v>7.2499999999999995E-2</v>
      </c>
      <c r="N160" s="6" t="s">
        <v>6</v>
      </c>
      <c r="O160" s="62"/>
      <c r="P160" s="64"/>
      <c r="Q160" s="8">
        <f t="shared" si="25"/>
        <v>95.440163551401881</v>
      </c>
      <c r="R160" s="8">
        <f t="shared" si="22"/>
        <v>2.103364485981309</v>
      </c>
      <c r="S160" s="8">
        <f t="shared" si="23"/>
        <v>7.624696261682244</v>
      </c>
    </row>
    <row r="161" spans="1:19" x14ac:dyDescent="0.25">
      <c r="A161" s="26" t="s">
        <v>186</v>
      </c>
      <c r="B161" s="1" t="s">
        <v>14</v>
      </c>
      <c r="C161" s="1">
        <v>5050</v>
      </c>
      <c r="D161" s="1" t="s">
        <v>15</v>
      </c>
      <c r="E161" s="1" t="s">
        <v>27</v>
      </c>
      <c r="F161" s="1" t="s">
        <v>28</v>
      </c>
      <c r="G161" s="1" t="s">
        <v>139</v>
      </c>
      <c r="H161" s="3">
        <v>80</v>
      </c>
      <c r="I161" s="11">
        <f>100%-J161</f>
        <v>0.68599999999999994</v>
      </c>
      <c r="J161" s="12">
        <v>0.314</v>
      </c>
      <c r="K161" s="12">
        <f t="shared" ref="K161:K170" si="29">100%-L161-M161</f>
        <v>0.90700000000000003</v>
      </c>
      <c r="L161" s="13">
        <v>0.02</v>
      </c>
      <c r="M161" s="13">
        <v>7.2999999999999995E-2</v>
      </c>
      <c r="N161" s="6" t="s">
        <v>6</v>
      </c>
      <c r="O161" s="62"/>
      <c r="P161" s="64"/>
      <c r="Q161" s="8">
        <f t="shared" si="25"/>
        <v>50.234049562682216</v>
      </c>
      <c r="R161" s="8">
        <f t="shared" si="22"/>
        <v>1.1076967930029153</v>
      </c>
      <c r="S161" s="8">
        <f t="shared" si="23"/>
        <v>4.0430932944606415</v>
      </c>
    </row>
    <row r="162" spans="1:19" x14ac:dyDescent="0.25">
      <c r="A162" s="26" t="s">
        <v>187</v>
      </c>
      <c r="B162" s="1" t="s">
        <v>14</v>
      </c>
      <c r="C162" s="2">
        <v>5050</v>
      </c>
      <c r="D162" s="2" t="s">
        <v>15</v>
      </c>
      <c r="E162" s="2" t="s">
        <v>27</v>
      </c>
      <c r="F162" s="2" t="s">
        <v>28</v>
      </c>
      <c r="G162" s="2" t="s">
        <v>141</v>
      </c>
      <c r="H162" s="3">
        <v>80</v>
      </c>
      <c r="I162" s="4">
        <f t="shared" ref="I162" si="30">100%-J162</f>
        <v>0.63</v>
      </c>
      <c r="J162" s="9">
        <v>0.37</v>
      </c>
      <c r="K162" s="5">
        <f t="shared" si="29"/>
        <v>0.85299999999999998</v>
      </c>
      <c r="L162" s="24">
        <v>0.1</v>
      </c>
      <c r="M162" s="24">
        <v>4.7E-2</v>
      </c>
      <c r="N162" s="6" t="s">
        <v>6</v>
      </c>
      <c r="O162" s="62"/>
      <c r="P162" s="64"/>
      <c r="Q162" s="8">
        <f t="shared" si="25"/>
        <v>60.617158730158728</v>
      </c>
      <c r="R162" s="8">
        <f t="shared" si="22"/>
        <v>7.1063492063492069</v>
      </c>
      <c r="S162" s="8">
        <f t="shared" si="23"/>
        <v>3.3399841269841271</v>
      </c>
    </row>
    <row r="163" spans="1:19" x14ac:dyDescent="0.25">
      <c r="A163" s="26" t="s">
        <v>188</v>
      </c>
      <c r="B163" s="1" t="s">
        <v>14</v>
      </c>
      <c r="C163" s="27">
        <v>5050</v>
      </c>
      <c r="D163" s="27" t="s">
        <v>15</v>
      </c>
      <c r="E163" s="27" t="s">
        <v>27</v>
      </c>
      <c r="F163" s="27" t="s">
        <v>28</v>
      </c>
      <c r="G163" s="27" t="s">
        <v>143</v>
      </c>
      <c r="H163" s="3">
        <v>80</v>
      </c>
      <c r="I163" s="28">
        <f>100%-J163</f>
        <v>0.81600000000000006</v>
      </c>
      <c r="J163" s="29">
        <v>0.184</v>
      </c>
      <c r="K163" s="29">
        <f t="shared" si="29"/>
        <v>0.93499999999999994</v>
      </c>
      <c r="L163" s="30">
        <v>0.02</v>
      </c>
      <c r="M163" s="30">
        <v>4.4999999999999998E-2</v>
      </c>
      <c r="N163" s="31" t="s">
        <v>6</v>
      </c>
      <c r="O163" s="62"/>
      <c r="P163" s="64"/>
      <c r="Q163" s="8">
        <f t="shared" si="25"/>
        <v>25.510833333333334</v>
      </c>
      <c r="R163" s="8">
        <f t="shared" si="22"/>
        <v>0.545686274509804</v>
      </c>
      <c r="S163" s="8">
        <f t="shared" si="23"/>
        <v>1.2277941176470588</v>
      </c>
    </row>
    <row r="164" spans="1:19" x14ac:dyDescent="0.25">
      <c r="A164" s="26" t="s">
        <v>189</v>
      </c>
      <c r="B164" s="1" t="s">
        <v>14</v>
      </c>
      <c r="C164" s="3">
        <v>5050</v>
      </c>
      <c r="D164" s="3" t="s">
        <v>15</v>
      </c>
      <c r="E164" s="3" t="s">
        <v>33</v>
      </c>
      <c r="F164" s="3" t="s">
        <v>34</v>
      </c>
      <c r="G164" s="3" t="s">
        <v>137</v>
      </c>
      <c r="H164" s="3">
        <v>80</v>
      </c>
      <c r="I164" s="32">
        <f t="shared" ref="I164:I172" si="31">100%-J164</f>
        <v>0.55000000000000004</v>
      </c>
      <c r="J164" s="33">
        <v>0.45</v>
      </c>
      <c r="K164" s="33">
        <f t="shared" si="29"/>
        <v>0.91749999999999998</v>
      </c>
      <c r="L164" s="36">
        <v>0.02</v>
      </c>
      <c r="M164" s="36">
        <v>6.25E-2</v>
      </c>
      <c r="N164" s="34" t="s">
        <v>6</v>
      </c>
      <c r="O164" s="62"/>
      <c r="P164" s="64"/>
      <c r="Q164" s="8">
        <f t="shared" si="25"/>
        <v>90.832499999999982</v>
      </c>
      <c r="R164" s="8">
        <f t="shared" si="22"/>
        <v>1.9799999999999998</v>
      </c>
      <c r="S164" s="8">
        <f t="shared" si="23"/>
        <v>6.1874999999999991</v>
      </c>
    </row>
    <row r="165" spans="1:19" x14ac:dyDescent="0.25">
      <c r="A165" s="26" t="s">
        <v>190</v>
      </c>
      <c r="B165" s="1" t="s">
        <v>14</v>
      </c>
      <c r="C165" s="3">
        <v>5050</v>
      </c>
      <c r="D165" s="3" t="s">
        <v>15</v>
      </c>
      <c r="E165" s="3" t="s">
        <v>33</v>
      </c>
      <c r="F165" s="3" t="s">
        <v>36</v>
      </c>
      <c r="G165" s="3" t="s">
        <v>137</v>
      </c>
      <c r="H165" s="3">
        <v>80</v>
      </c>
      <c r="I165" s="32">
        <f t="shared" si="31"/>
        <v>0.56000000000000005</v>
      </c>
      <c r="J165" s="33">
        <v>0.44</v>
      </c>
      <c r="K165" s="33">
        <f t="shared" si="29"/>
        <v>4.4999999999999998E-2</v>
      </c>
      <c r="L165" s="36">
        <v>0.88</v>
      </c>
      <c r="M165" s="36">
        <v>7.4999999999999997E-2</v>
      </c>
      <c r="N165" s="34" t="s">
        <v>6</v>
      </c>
      <c r="O165" s="62"/>
      <c r="P165" s="64"/>
      <c r="Q165" s="8">
        <f t="shared" si="25"/>
        <v>4.2782142857142853</v>
      </c>
      <c r="R165" s="8">
        <f t="shared" si="22"/>
        <v>83.662857142857135</v>
      </c>
      <c r="S165" s="8">
        <f t="shared" si="23"/>
        <v>7.1303571428571422</v>
      </c>
    </row>
    <row r="166" spans="1:19" x14ac:dyDescent="0.25">
      <c r="A166" s="26" t="s">
        <v>191</v>
      </c>
      <c r="B166" s="1" t="s">
        <v>1</v>
      </c>
      <c r="C166" s="3">
        <v>5050</v>
      </c>
      <c r="D166" s="3" t="s">
        <v>15</v>
      </c>
      <c r="E166" s="3" t="s">
        <v>51</v>
      </c>
      <c r="F166" s="3" t="s">
        <v>52</v>
      </c>
      <c r="G166" s="3" t="s">
        <v>137</v>
      </c>
      <c r="H166" s="3">
        <v>80</v>
      </c>
      <c r="I166" s="32">
        <f t="shared" si="31"/>
        <v>0.59499999999999997</v>
      </c>
      <c r="J166" s="33">
        <v>0.40500000000000003</v>
      </c>
      <c r="K166" s="33">
        <f t="shared" si="29"/>
        <v>0.90849999999999997</v>
      </c>
      <c r="L166" s="36">
        <v>0.02</v>
      </c>
      <c r="M166" s="36">
        <v>7.1499999999999994E-2</v>
      </c>
      <c r="N166" s="34" t="s">
        <v>6</v>
      </c>
      <c r="O166" s="62"/>
      <c r="P166" s="64"/>
      <c r="Q166" s="8">
        <f t="shared" si="25"/>
        <v>74.825281512605059</v>
      </c>
      <c r="R166" s="8">
        <f t="shared" si="22"/>
        <v>1.6472268907563028</v>
      </c>
      <c r="S166" s="8">
        <f t="shared" si="23"/>
        <v>5.8888361344537818</v>
      </c>
    </row>
    <row r="167" spans="1:19" x14ac:dyDescent="0.25">
      <c r="A167" s="26" t="s">
        <v>192</v>
      </c>
      <c r="B167" s="1" t="s">
        <v>14</v>
      </c>
      <c r="C167" s="3">
        <v>5050</v>
      </c>
      <c r="D167" s="3" t="s">
        <v>15</v>
      </c>
      <c r="E167" s="3" t="s">
        <v>33</v>
      </c>
      <c r="F167" s="3" t="s">
        <v>34</v>
      </c>
      <c r="G167" s="3" t="s">
        <v>139</v>
      </c>
      <c r="H167" s="3">
        <v>80</v>
      </c>
      <c r="I167" s="32">
        <f t="shared" si="31"/>
        <v>0.6</v>
      </c>
      <c r="J167" s="33">
        <v>0.4</v>
      </c>
      <c r="K167" s="33">
        <f t="shared" si="29"/>
        <v>4.4999999999999984E-2</v>
      </c>
      <c r="L167" s="36">
        <v>0.88800000000000001</v>
      </c>
      <c r="M167" s="36">
        <v>6.7000000000000004E-2</v>
      </c>
      <c r="N167" s="34" t="s">
        <v>6</v>
      </c>
      <c r="O167" s="62"/>
      <c r="P167" s="64"/>
      <c r="Q167" s="8">
        <f t="shared" si="25"/>
        <v>3.6299999999999994</v>
      </c>
      <c r="R167" s="8">
        <f t="shared" si="22"/>
        <v>71.632000000000019</v>
      </c>
      <c r="S167" s="8">
        <f t="shared" si="23"/>
        <v>5.4046666666666683</v>
      </c>
    </row>
    <row r="168" spans="1:19" x14ac:dyDescent="0.25">
      <c r="A168" s="26" t="s">
        <v>193</v>
      </c>
      <c r="B168" s="1" t="s">
        <v>14</v>
      </c>
      <c r="C168" s="3">
        <v>5050</v>
      </c>
      <c r="D168" s="3" t="s">
        <v>15</v>
      </c>
      <c r="E168" s="3" t="s">
        <v>33</v>
      </c>
      <c r="F168" s="3" t="s">
        <v>36</v>
      </c>
      <c r="G168" s="3" t="s">
        <v>139</v>
      </c>
      <c r="H168" s="3">
        <v>80</v>
      </c>
      <c r="I168" s="32">
        <f t="shared" si="31"/>
        <v>0.58000000000000007</v>
      </c>
      <c r="J168" s="33">
        <v>0.42</v>
      </c>
      <c r="K168" s="33">
        <f t="shared" si="29"/>
        <v>4.500000000000004E-2</v>
      </c>
      <c r="L168" s="36">
        <v>0.89249999999999996</v>
      </c>
      <c r="M168" s="36">
        <v>6.25E-2</v>
      </c>
      <c r="N168" s="34" t="s">
        <v>6</v>
      </c>
      <c r="O168" s="62"/>
      <c r="P168" s="64"/>
      <c r="Q168" s="8">
        <f t="shared" si="25"/>
        <v>3.9429310344827613</v>
      </c>
      <c r="R168" s="8">
        <f t="shared" si="22"/>
        <v>78.20146551724136</v>
      </c>
      <c r="S168" s="8">
        <f t="shared" si="23"/>
        <v>5.4762931034482749</v>
      </c>
    </row>
    <row r="169" spans="1:19" x14ac:dyDescent="0.25">
      <c r="A169" s="26" t="s">
        <v>194</v>
      </c>
      <c r="B169" s="1" t="s">
        <v>14</v>
      </c>
      <c r="C169" s="2">
        <v>5050</v>
      </c>
      <c r="D169" s="2" t="s">
        <v>15</v>
      </c>
      <c r="E169" s="2" t="s">
        <v>33</v>
      </c>
      <c r="F169" s="2" t="s">
        <v>34</v>
      </c>
      <c r="G169" s="2" t="s">
        <v>141</v>
      </c>
      <c r="H169" s="3">
        <v>80</v>
      </c>
      <c r="I169" s="4">
        <f t="shared" si="31"/>
        <v>0.69</v>
      </c>
      <c r="J169" s="9">
        <v>0.31</v>
      </c>
      <c r="K169" s="5">
        <f t="shared" si="29"/>
        <v>5.0999999999999983E-2</v>
      </c>
      <c r="L169" s="24">
        <v>0.89500000000000002</v>
      </c>
      <c r="M169" s="24">
        <v>5.3999999999999999E-2</v>
      </c>
      <c r="N169" s="6" t="s">
        <v>6</v>
      </c>
      <c r="O169" s="62"/>
      <c r="P169" s="64"/>
      <c r="Q169" s="8">
        <f t="shared" si="25"/>
        <v>2.7724782608695642</v>
      </c>
      <c r="R169" s="8">
        <f t="shared" si="22"/>
        <v>48.654275362318842</v>
      </c>
      <c r="S169" s="8">
        <f t="shared" si="23"/>
        <v>2.9355652173913045</v>
      </c>
    </row>
    <row r="170" spans="1:19" x14ac:dyDescent="0.25">
      <c r="A170" s="26" t="s">
        <v>195</v>
      </c>
      <c r="B170" s="1" t="s">
        <v>14</v>
      </c>
      <c r="C170" s="2">
        <v>5050</v>
      </c>
      <c r="D170" s="2" t="s">
        <v>15</v>
      </c>
      <c r="E170" s="2" t="s">
        <v>33</v>
      </c>
      <c r="F170" s="2" t="s">
        <v>36</v>
      </c>
      <c r="G170" s="2" t="s">
        <v>141</v>
      </c>
      <c r="H170" s="3">
        <v>80</v>
      </c>
      <c r="I170" s="4">
        <f t="shared" si="31"/>
        <v>0.65500000000000003</v>
      </c>
      <c r="J170" s="9">
        <v>0.34499999999999997</v>
      </c>
      <c r="K170" s="5">
        <f t="shared" si="29"/>
        <v>0.90799999999999992</v>
      </c>
      <c r="L170" s="24">
        <v>0.05</v>
      </c>
      <c r="M170" s="24">
        <v>4.2000000000000003E-2</v>
      </c>
      <c r="N170" s="6" t="s">
        <v>6</v>
      </c>
      <c r="O170" s="62"/>
      <c r="P170" s="64"/>
      <c r="Q170" s="8">
        <f t="shared" si="25"/>
        <v>57.869404580152661</v>
      </c>
      <c r="R170" s="8">
        <f t="shared" si="22"/>
        <v>3.186641221374046</v>
      </c>
      <c r="S170" s="8">
        <f t="shared" si="23"/>
        <v>2.6767786259541984</v>
      </c>
    </row>
    <row r="171" spans="1:19" x14ac:dyDescent="0.25">
      <c r="A171" s="26" t="s">
        <v>196</v>
      </c>
      <c r="B171" s="1" t="s">
        <v>14</v>
      </c>
      <c r="C171" s="3">
        <v>5050</v>
      </c>
      <c r="D171" s="3" t="s">
        <v>15</v>
      </c>
      <c r="E171" s="3" t="s">
        <v>54</v>
      </c>
      <c r="F171" s="3" t="s">
        <v>36</v>
      </c>
      <c r="G171" s="37" t="s">
        <v>143</v>
      </c>
      <c r="H171" s="3">
        <v>80</v>
      </c>
      <c r="I171" s="32">
        <f t="shared" si="31"/>
        <v>0.745</v>
      </c>
      <c r="J171" s="33">
        <v>0.255</v>
      </c>
      <c r="K171" s="33">
        <v>5.0999999999999997E-2</v>
      </c>
      <c r="L171" s="36">
        <v>0.90249999999999997</v>
      </c>
      <c r="M171" s="36">
        <v>4.65E-2</v>
      </c>
      <c r="N171" s="34" t="s">
        <v>6</v>
      </c>
      <c r="O171" s="62"/>
      <c r="P171" s="64"/>
      <c r="Q171" s="8">
        <f t="shared" si="25"/>
        <v>2.1122214765100669</v>
      </c>
      <c r="R171" s="8">
        <f t="shared" si="22"/>
        <v>37.378036912751675</v>
      </c>
      <c r="S171" s="8">
        <f t="shared" si="23"/>
        <v>1.9258489932885907</v>
      </c>
    </row>
    <row r="172" spans="1:19" x14ac:dyDescent="0.25">
      <c r="A172" s="26" t="s">
        <v>197</v>
      </c>
      <c r="B172" s="1" t="s">
        <v>14</v>
      </c>
      <c r="C172" s="3">
        <v>5050</v>
      </c>
      <c r="D172" s="3" t="s">
        <v>15</v>
      </c>
      <c r="E172" s="3" t="s">
        <v>54</v>
      </c>
      <c r="F172" s="3" t="s">
        <v>34</v>
      </c>
      <c r="G172" s="37" t="s">
        <v>143</v>
      </c>
      <c r="H172" s="3">
        <v>80</v>
      </c>
      <c r="I172" s="32">
        <f t="shared" si="31"/>
        <v>0.82000000000000006</v>
      </c>
      <c r="J172" s="33">
        <v>0.18</v>
      </c>
      <c r="K172" s="33">
        <f>100%-L172-M172</f>
        <v>0.93299999999999994</v>
      </c>
      <c r="L172" s="36">
        <v>0.02</v>
      </c>
      <c r="M172" s="36">
        <v>4.7E-2</v>
      </c>
      <c r="N172" s="34" t="s">
        <v>6</v>
      </c>
      <c r="O172" s="62"/>
      <c r="P172" s="64"/>
      <c r="Q172" s="8">
        <f t="shared" si="25"/>
        <v>24.781390243902436</v>
      </c>
      <c r="R172" s="8">
        <f t="shared" si="22"/>
        <v>0.53121951219512187</v>
      </c>
      <c r="S172" s="8">
        <f t="shared" si="23"/>
        <v>1.2483658536585365</v>
      </c>
    </row>
    <row r="173" spans="1:19" x14ac:dyDescent="0.25">
      <c r="A173" s="1" t="s">
        <v>198</v>
      </c>
      <c r="B173" s="1" t="s">
        <v>1</v>
      </c>
      <c r="C173" s="2">
        <v>2835</v>
      </c>
      <c r="D173" s="3" t="s">
        <v>82</v>
      </c>
      <c r="E173" s="2" t="s">
        <v>3</v>
      </c>
      <c r="F173" s="2" t="s">
        <v>4</v>
      </c>
      <c r="G173" s="2" t="s">
        <v>137</v>
      </c>
      <c r="H173" s="3">
        <v>70</v>
      </c>
      <c r="I173" s="4">
        <f>100%-J173</f>
        <v>0.55000000000000004</v>
      </c>
      <c r="J173" s="5">
        <v>0.45</v>
      </c>
      <c r="K173" s="5">
        <f t="shared" ref="K173:K184" si="32">100%-L173-M173</f>
        <v>0.9153</v>
      </c>
      <c r="L173" s="5">
        <v>0.02</v>
      </c>
      <c r="M173" s="5">
        <v>6.4699999999999994E-2</v>
      </c>
      <c r="N173" s="6" t="s">
        <v>6</v>
      </c>
      <c r="O173" s="62"/>
      <c r="P173" s="64"/>
      <c r="Q173" s="8">
        <f t="shared" si="25"/>
        <v>90.614699999999985</v>
      </c>
      <c r="R173" s="8">
        <f t="shared" si="22"/>
        <v>1.9799999999999998</v>
      </c>
      <c r="S173" s="8">
        <f t="shared" si="23"/>
        <v>6.4052999999999987</v>
      </c>
    </row>
    <row r="174" spans="1:19" x14ac:dyDescent="0.25">
      <c r="A174" s="1" t="s">
        <v>199</v>
      </c>
      <c r="B174" s="1" t="s">
        <v>1</v>
      </c>
      <c r="C174" s="2">
        <v>2835</v>
      </c>
      <c r="D174" s="3" t="s">
        <v>82</v>
      </c>
      <c r="E174" s="2" t="s">
        <v>3</v>
      </c>
      <c r="F174" s="2" t="s">
        <v>4</v>
      </c>
      <c r="G174" s="2" t="s">
        <v>139</v>
      </c>
      <c r="H174" s="3">
        <v>70</v>
      </c>
      <c r="I174" s="4">
        <f>100%-J174</f>
        <v>0.59000000000000008</v>
      </c>
      <c r="J174" s="5">
        <v>0.41</v>
      </c>
      <c r="K174" s="5">
        <f t="shared" si="32"/>
        <v>0.92449999999999999</v>
      </c>
      <c r="L174" s="5">
        <v>0.02</v>
      </c>
      <c r="M174" s="5">
        <v>5.5500000000000001E-2</v>
      </c>
      <c r="N174" s="6" t="s">
        <v>6</v>
      </c>
      <c r="O174" s="62"/>
      <c r="P174" s="64"/>
      <c r="Q174" s="8">
        <f t="shared" si="25"/>
        <v>77.736347457627105</v>
      </c>
      <c r="R174" s="8">
        <f t="shared" si="22"/>
        <v>1.6816949152542371</v>
      </c>
      <c r="S174" s="8">
        <f t="shared" si="23"/>
        <v>4.6667033898305075</v>
      </c>
    </row>
    <row r="175" spans="1:19" x14ac:dyDescent="0.25">
      <c r="A175" s="1" t="s">
        <v>200</v>
      </c>
      <c r="B175" s="1" t="s">
        <v>1</v>
      </c>
      <c r="C175" s="2">
        <v>2835</v>
      </c>
      <c r="D175" s="3" t="s">
        <v>82</v>
      </c>
      <c r="E175" s="2" t="s">
        <v>3</v>
      </c>
      <c r="F175" s="2" t="s">
        <v>4</v>
      </c>
      <c r="G175" s="2" t="s">
        <v>141</v>
      </c>
      <c r="H175" s="3">
        <v>70</v>
      </c>
      <c r="I175" s="4">
        <f t="shared" ref="I175:I177" si="33">100%-J175</f>
        <v>0.72499999999999998</v>
      </c>
      <c r="J175" s="9">
        <v>0.27500000000000002</v>
      </c>
      <c r="K175" s="5">
        <f t="shared" si="32"/>
        <v>0.93051951219512197</v>
      </c>
      <c r="L175" s="9">
        <v>0.02</v>
      </c>
      <c r="M175" s="9">
        <v>4.9480487804878001E-2</v>
      </c>
      <c r="N175" s="6" t="s">
        <v>6</v>
      </c>
      <c r="O175" s="62"/>
      <c r="P175" s="64"/>
      <c r="Q175" s="8">
        <f t="shared" si="25"/>
        <v>42.707636921783013</v>
      </c>
      <c r="R175" s="8">
        <f t="shared" si="22"/>
        <v>0.9179310344827587</v>
      </c>
      <c r="S175" s="8">
        <f t="shared" si="23"/>
        <v>2.2709837678721594</v>
      </c>
    </row>
    <row r="176" spans="1:19" x14ac:dyDescent="0.25">
      <c r="A176" s="10" t="s">
        <v>201</v>
      </c>
      <c r="B176" s="1" t="s">
        <v>1</v>
      </c>
      <c r="C176" s="2">
        <v>2835</v>
      </c>
      <c r="D176" s="3" t="s">
        <v>82</v>
      </c>
      <c r="E176" s="2" t="s">
        <v>3</v>
      </c>
      <c r="F176" s="2" t="s">
        <v>4</v>
      </c>
      <c r="G176" s="2" t="s">
        <v>143</v>
      </c>
      <c r="H176" s="3">
        <v>70</v>
      </c>
      <c r="I176" s="4">
        <f t="shared" si="33"/>
        <v>0.76500000000000001</v>
      </c>
      <c r="J176" s="9">
        <v>0.23499999999999999</v>
      </c>
      <c r="K176" s="5">
        <f t="shared" si="32"/>
        <v>0.94299999999999995</v>
      </c>
      <c r="L176" s="9">
        <v>0.02</v>
      </c>
      <c r="M176" s="9">
        <v>3.6999999999999998E-2</v>
      </c>
      <c r="N176" s="6" t="s">
        <v>6</v>
      </c>
      <c r="O176" s="62"/>
      <c r="P176" s="64"/>
      <c r="Q176" s="8">
        <f t="shared" si="25"/>
        <v>35.05124836601307</v>
      </c>
      <c r="R176" s="8">
        <f t="shared" si="22"/>
        <v>0.74339869281045756</v>
      </c>
      <c r="S176" s="8">
        <f t="shared" si="23"/>
        <v>1.3752875816993464</v>
      </c>
    </row>
    <row r="177" spans="1:19" x14ac:dyDescent="0.25">
      <c r="A177" s="1" t="s">
        <v>202</v>
      </c>
      <c r="B177" s="1" t="s">
        <v>14</v>
      </c>
      <c r="C177" s="1">
        <v>3030</v>
      </c>
      <c r="D177" s="3" t="s">
        <v>82</v>
      </c>
      <c r="E177" s="1" t="s">
        <v>3</v>
      </c>
      <c r="F177" s="1" t="s">
        <v>4</v>
      </c>
      <c r="G177" s="1" t="s">
        <v>137</v>
      </c>
      <c r="H177" s="3">
        <v>70</v>
      </c>
      <c r="I177" s="11">
        <f t="shared" si="33"/>
        <v>0.63</v>
      </c>
      <c r="J177" s="12">
        <v>0.37</v>
      </c>
      <c r="K177" s="12">
        <f t="shared" si="32"/>
        <v>0.89304347826086961</v>
      </c>
      <c r="L177" s="13">
        <v>0.02</v>
      </c>
      <c r="M177" s="13">
        <v>8.6956521739130432E-2</v>
      </c>
      <c r="N177" s="6" t="s">
        <v>6</v>
      </c>
      <c r="O177" s="62"/>
      <c r="P177" s="64"/>
      <c r="Q177" s="8">
        <f t="shared" si="25"/>
        <v>63.462788129744652</v>
      </c>
      <c r="R177" s="8">
        <f t="shared" si="22"/>
        <v>1.4212698412698412</v>
      </c>
      <c r="S177" s="8">
        <f t="shared" si="23"/>
        <v>6.1794340924775701</v>
      </c>
    </row>
    <row r="178" spans="1:19" x14ac:dyDescent="0.25">
      <c r="A178" s="1" t="s">
        <v>203</v>
      </c>
      <c r="B178" s="1" t="s">
        <v>14</v>
      </c>
      <c r="C178" s="14">
        <v>3030</v>
      </c>
      <c r="D178" s="3" t="s">
        <v>82</v>
      </c>
      <c r="E178" s="14" t="s">
        <v>3</v>
      </c>
      <c r="F178" s="14" t="s">
        <v>4</v>
      </c>
      <c r="G178" s="14" t="s">
        <v>139</v>
      </c>
      <c r="H178" s="3">
        <v>70</v>
      </c>
      <c r="I178" s="15">
        <f>100%-J178</f>
        <v>0.62</v>
      </c>
      <c r="J178" s="16">
        <v>0.38</v>
      </c>
      <c r="K178" s="16">
        <f t="shared" si="32"/>
        <v>0.91500000000000004</v>
      </c>
      <c r="L178" s="17">
        <v>0.02</v>
      </c>
      <c r="M178" s="17">
        <v>6.5000000000000002E-2</v>
      </c>
      <c r="N178" s="18" t="s">
        <v>6</v>
      </c>
      <c r="O178" s="62"/>
      <c r="P178" s="64"/>
      <c r="Q178" s="8">
        <f t="shared" si="25"/>
        <v>67.857580645161292</v>
      </c>
      <c r="R178" s="8">
        <f t="shared" si="22"/>
        <v>1.4832258064516128</v>
      </c>
      <c r="S178" s="8">
        <f t="shared" si="23"/>
        <v>4.8204838709677418</v>
      </c>
    </row>
    <row r="179" spans="1:19" x14ac:dyDescent="0.25">
      <c r="A179" s="1" t="s">
        <v>204</v>
      </c>
      <c r="B179" s="1" t="s">
        <v>14</v>
      </c>
      <c r="C179" s="19">
        <v>3030</v>
      </c>
      <c r="D179" s="3" t="s">
        <v>82</v>
      </c>
      <c r="E179" s="19" t="s">
        <v>3</v>
      </c>
      <c r="F179" s="19" t="s">
        <v>4</v>
      </c>
      <c r="G179" s="19" t="s">
        <v>141</v>
      </c>
      <c r="H179" s="3">
        <v>70</v>
      </c>
      <c r="I179" s="20">
        <f t="shared" ref="I179:I185" si="34">100%-J179</f>
        <v>0.73</v>
      </c>
      <c r="J179" s="16">
        <v>0.27</v>
      </c>
      <c r="K179" s="21">
        <f t="shared" si="32"/>
        <v>0.92699999999999994</v>
      </c>
      <c r="L179" s="22">
        <v>0.02</v>
      </c>
      <c r="M179" s="22">
        <v>5.2999999999999999E-2</v>
      </c>
      <c r="N179" s="18" t="s">
        <v>6</v>
      </c>
      <c r="O179" s="62"/>
      <c r="P179" s="64"/>
      <c r="Q179" s="8">
        <f t="shared" si="25"/>
        <v>41.486424657534251</v>
      </c>
      <c r="R179" s="8">
        <f t="shared" si="22"/>
        <v>0.89506849315068504</v>
      </c>
      <c r="S179" s="8">
        <f t="shared" si="23"/>
        <v>2.3719315068493154</v>
      </c>
    </row>
    <row r="180" spans="1:19" x14ac:dyDescent="0.25">
      <c r="A180" s="1" t="s">
        <v>205</v>
      </c>
      <c r="B180" s="1" t="s">
        <v>14</v>
      </c>
      <c r="C180" s="2">
        <v>3030</v>
      </c>
      <c r="D180" s="3" t="s">
        <v>82</v>
      </c>
      <c r="E180" s="2" t="s">
        <v>3</v>
      </c>
      <c r="F180" s="2" t="s">
        <v>4</v>
      </c>
      <c r="G180" s="23" t="s">
        <v>143</v>
      </c>
      <c r="H180" s="3">
        <v>70</v>
      </c>
      <c r="I180" s="4">
        <f t="shared" si="34"/>
        <v>0.78500000000000003</v>
      </c>
      <c r="J180" s="9">
        <v>0.215</v>
      </c>
      <c r="K180" s="5">
        <f t="shared" si="32"/>
        <v>0.93652173913043479</v>
      </c>
      <c r="L180" s="24">
        <v>0.02</v>
      </c>
      <c r="M180" s="24">
        <v>4.3478260869565216E-2</v>
      </c>
      <c r="N180" s="6" t="s">
        <v>6</v>
      </c>
      <c r="O180" s="62"/>
      <c r="P180" s="64"/>
      <c r="Q180" s="8">
        <f t="shared" si="25"/>
        <v>31.036449736914985</v>
      </c>
      <c r="R180" s="8">
        <f t="shared" ref="R180:R238" si="35">($O$3+$P$3)/I180*J180*L180</f>
        <v>0.66280254777070069</v>
      </c>
      <c r="S180" s="8">
        <f t="shared" ref="S180:S238" si="36">($O$3+$P$3)/I180*J180*M180</f>
        <v>1.4408751038493492</v>
      </c>
    </row>
    <row r="181" spans="1:19" x14ac:dyDescent="0.25">
      <c r="A181" s="1" t="s">
        <v>206</v>
      </c>
      <c r="B181" s="1" t="s">
        <v>14</v>
      </c>
      <c r="C181" s="1">
        <v>3030</v>
      </c>
      <c r="D181" s="3" t="s">
        <v>82</v>
      </c>
      <c r="E181" s="1" t="s">
        <v>20</v>
      </c>
      <c r="F181" s="1" t="s">
        <v>21</v>
      </c>
      <c r="G181" s="1" t="s">
        <v>137</v>
      </c>
      <c r="H181" s="3">
        <v>70</v>
      </c>
      <c r="I181" s="11">
        <f t="shared" si="34"/>
        <v>0.51</v>
      </c>
      <c r="J181" s="12">
        <v>0.49</v>
      </c>
      <c r="K181" s="12">
        <f t="shared" si="32"/>
        <v>0.91333333333333333</v>
      </c>
      <c r="L181" s="12">
        <v>0.02</v>
      </c>
      <c r="M181" s="12">
        <v>6.6666666666666666E-2</v>
      </c>
      <c r="N181" s="6" t="s">
        <v>6</v>
      </c>
      <c r="O181" s="62"/>
      <c r="P181" s="64"/>
      <c r="Q181" s="8">
        <f t="shared" si="25"/>
        <v>106.17947712418301</v>
      </c>
      <c r="R181" s="8">
        <f t="shared" si="35"/>
        <v>2.3250980392156864</v>
      </c>
      <c r="S181" s="8">
        <f t="shared" si="36"/>
        <v>7.7503267973856209</v>
      </c>
    </row>
    <row r="182" spans="1:19" x14ac:dyDescent="0.25">
      <c r="A182" s="1" t="s">
        <v>207</v>
      </c>
      <c r="B182" s="1" t="s">
        <v>14</v>
      </c>
      <c r="C182" s="3">
        <v>3030</v>
      </c>
      <c r="D182" s="3" t="s">
        <v>82</v>
      </c>
      <c r="E182" s="3" t="s">
        <v>20</v>
      </c>
      <c r="F182" s="3" t="s">
        <v>21</v>
      </c>
      <c r="G182" s="3" t="s">
        <v>139</v>
      </c>
      <c r="H182" s="3">
        <v>70</v>
      </c>
      <c r="I182" s="32">
        <f t="shared" si="34"/>
        <v>0.56000000000000005</v>
      </c>
      <c r="J182" s="33">
        <v>0.44</v>
      </c>
      <c r="K182" s="33">
        <f t="shared" si="32"/>
        <v>0.70350000000000001</v>
      </c>
      <c r="L182" s="33">
        <v>0.25</v>
      </c>
      <c r="M182" s="33">
        <v>4.65E-2</v>
      </c>
      <c r="N182" s="34" t="s">
        <v>6</v>
      </c>
      <c r="O182" s="62"/>
      <c r="P182" s="64"/>
      <c r="Q182" s="8">
        <f t="shared" si="25"/>
        <v>66.882750000000001</v>
      </c>
      <c r="R182" s="8">
        <f t="shared" si="35"/>
        <v>23.767857142857142</v>
      </c>
      <c r="S182" s="8">
        <f t="shared" si="36"/>
        <v>4.4208214285714282</v>
      </c>
    </row>
    <row r="183" spans="1:19" x14ac:dyDescent="0.25">
      <c r="A183" s="1" t="s">
        <v>208</v>
      </c>
      <c r="B183" s="1" t="s">
        <v>14</v>
      </c>
      <c r="C183" s="3">
        <v>3030</v>
      </c>
      <c r="D183" s="3" t="s">
        <v>82</v>
      </c>
      <c r="E183" s="3" t="s">
        <v>20</v>
      </c>
      <c r="F183" s="3" t="s">
        <v>21</v>
      </c>
      <c r="G183" s="3" t="s">
        <v>141</v>
      </c>
      <c r="H183" s="3">
        <v>70</v>
      </c>
      <c r="I183" s="32">
        <f t="shared" si="34"/>
        <v>0.63</v>
      </c>
      <c r="J183" s="35">
        <v>0.37</v>
      </c>
      <c r="K183" s="33">
        <f t="shared" si="32"/>
        <v>0.72</v>
      </c>
      <c r="L183" s="33">
        <v>0.25</v>
      </c>
      <c r="M183" s="33">
        <v>0.03</v>
      </c>
      <c r="N183" s="34" t="s">
        <v>6</v>
      </c>
      <c r="O183" s="62"/>
      <c r="P183" s="64"/>
      <c r="Q183" s="8">
        <f t="shared" si="25"/>
        <v>51.16571428571428</v>
      </c>
      <c r="R183" s="8">
        <f t="shared" si="35"/>
        <v>17.765873015873016</v>
      </c>
      <c r="S183" s="8">
        <f t="shared" si="36"/>
        <v>2.131904761904762</v>
      </c>
    </row>
    <row r="184" spans="1:19" x14ac:dyDescent="0.25">
      <c r="A184" s="10" t="s">
        <v>209</v>
      </c>
      <c r="B184" s="1" t="s">
        <v>14</v>
      </c>
      <c r="C184" s="3">
        <v>3030</v>
      </c>
      <c r="D184" s="3" t="s">
        <v>82</v>
      </c>
      <c r="E184" s="3" t="s">
        <v>20</v>
      </c>
      <c r="F184" s="3" t="s">
        <v>21</v>
      </c>
      <c r="G184" s="3" t="s">
        <v>143</v>
      </c>
      <c r="H184" s="3">
        <v>70</v>
      </c>
      <c r="I184" s="32">
        <f t="shared" si="34"/>
        <v>0.71199999999999997</v>
      </c>
      <c r="J184" s="33">
        <v>0.28799999999999998</v>
      </c>
      <c r="K184" s="33">
        <f t="shared" si="32"/>
        <v>0.68299999999999994</v>
      </c>
      <c r="L184" s="33">
        <v>0.3</v>
      </c>
      <c r="M184" s="35">
        <v>1.7000000000000001E-2</v>
      </c>
      <c r="N184" s="34" t="s">
        <v>6</v>
      </c>
      <c r="O184" s="62"/>
      <c r="P184" s="64"/>
      <c r="Q184" s="8">
        <f t="shared" si="25"/>
        <v>33.428629213483141</v>
      </c>
      <c r="R184" s="8">
        <f t="shared" si="35"/>
        <v>14.683146067415729</v>
      </c>
      <c r="S184" s="8">
        <f t="shared" si="36"/>
        <v>0.83204494382022476</v>
      </c>
    </row>
    <row r="185" spans="1:19" x14ac:dyDescent="0.25">
      <c r="A185" s="26" t="s">
        <v>210</v>
      </c>
      <c r="B185" s="1" t="s">
        <v>14</v>
      </c>
      <c r="C185" s="1">
        <v>5050</v>
      </c>
      <c r="D185" s="3" t="s">
        <v>82</v>
      </c>
      <c r="E185" s="1" t="s">
        <v>27</v>
      </c>
      <c r="F185" s="1" t="s">
        <v>28</v>
      </c>
      <c r="G185" s="1" t="s">
        <v>137</v>
      </c>
      <c r="H185" s="3">
        <v>70</v>
      </c>
      <c r="I185" s="11">
        <f t="shared" si="34"/>
        <v>0.65</v>
      </c>
      <c r="J185" s="12">
        <v>0.35</v>
      </c>
      <c r="K185" s="12">
        <f>100%-L185-M185</f>
        <v>0.89500000000000002</v>
      </c>
      <c r="L185" s="13">
        <v>0.02</v>
      </c>
      <c r="M185" s="13">
        <v>8.5000000000000006E-2</v>
      </c>
      <c r="N185" s="6" t="s">
        <v>6</v>
      </c>
      <c r="O185" s="62"/>
      <c r="P185" s="64"/>
      <c r="Q185" s="8">
        <f t="shared" ref="Q185:Q238" si="37">($O$3+$P$3)/I185*J185*K185</f>
        <v>58.312692307692302</v>
      </c>
      <c r="R185" s="8">
        <f t="shared" si="35"/>
        <v>1.303076923076923</v>
      </c>
      <c r="S185" s="8">
        <f t="shared" si="36"/>
        <v>5.5380769230769227</v>
      </c>
    </row>
    <row r="186" spans="1:19" x14ac:dyDescent="0.25">
      <c r="A186" s="26" t="s">
        <v>211</v>
      </c>
      <c r="B186" s="1" t="s">
        <v>14</v>
      </c>
      <c r="C186" s="1">
        <v>5050</v>
      </c>
      <c r="D186" s="3" t="s">
        <v>82</v>
      </c>
      <c r="E186" s="1" t="s">
        <v>27</v>
      </c>
      <c r="F186" s="1" t="s">
        <v>28</v>
      </c>
      <c r="G186" s="1" t="s">
        <v>139</v>
      </c>
      <c r="H186" s="3">
        <v>70</v>
      </c>
      <c r="I186" s="11">
        <f>100%-J186</f>
        <v>0.68599999999999994</v>
      </c>
      <c r="J186" s="12">
        <v>0.314</v>
      </c>
      <c r="K186" s="12">
        <f t="shared" ref="K186:K194" si="38">100%-L186-M186</f>
        <v>0.90700000000000003</v>
      </c>
      <c r="L186" s="13">
        <v>0.02</v>
      </c>
      <c r="M186" s="13">
        <v>7.2999999999999995E-2</v>
      </c>
      <c r="N186" s="6" t="s">
        <v>6</v>
      </c>
      <c r="O186" s="62"/>
      <c r="P186" s="64"/>
      <c r="Q186" s="8">
        <f t="shared" si="37"/>
        <v>50.234049562682216</v>
      </c>
      <c r="R186" s="8">
        <f t="shared" si="35"/>
        <v>1.1076967930029153</v>
      </c>
      <c r="S186" s="8">
        <f t="shared" si="36"/>
        <v>4.0430932944606415</v>
      </c>
    </row>
    <row r="187" spans="1:19" x14ac:dyDescent="0.25">
      <c r="A187" s="26" t="s">
        <v>212</v>
      </c>
      <c r="B187" s="1" t="s">
        <v>14</v>
      </c>
      <c r="C187" s="2">
        <v>5050</v>
      </c>
      <c r="D187" s="3" t="s">
        <v>82</v>
      </c>
      <c r="E187" s="2" t="s">
        <v>27</v>
      </c>
      <c r="F187" s="2" t="s">
        <v>28</v>
      </c>
      <c r="G187" s="2" t="s">
        <v>141</v>
      </c>
      <c r="H187" s="3">
        <v>70</v>
      </c>
      <c r="I187" s="4">
        <f>100%-J187</f>
        <v>0.77</v>
      </c>
      <c r="J187" s="9">
        <v>0.23</v>
      </c>
      <c r="K187" s="5">
        <f t="shared" si="38"/>
        <v>0.92399999999999993</v>
      </c>
      <c r="L187" s="24">
        <v>0.02</v>
      </c>
      <c r="M187" s="24">
        <v>5.6000000000000001E-2</v>
      </c>
      <c r="N187" s="6" t="s">
        <v>6</v>
      </c>
      <c r="O187" s="62"/>
      <c r="P187" s="64"/>
      <c r="Q187" s="8">
        <f t="shared" si="37"/>
        <v>33.396000000000001</v>
      </c>
      <c r="R187" s="8">
        <f t="shared" si="35"/>
        <v>0.72285714285714298</v>
      </c>
      <c r="S187" s="8">
        <f t="shared" si="36"/>
        <v>2.024</v>
      </c>
    </row>
    <row r="188" spans="1:19" x14ac:dyDescent="0.25">
      <c r="A188" s="26" t="s">
        <v>213</v>
      </c>
      <c r="B188" s="1" t="s">
        <v>14</v>
      </c>
      <c r="C188" s="27">
        <v>5050</v>
      </c>
      <c r="D188" s="3" t="s">
        <v>82</v>
      </c>
      <c r="E188" s="27" t="s">
        <v>27</v>
      </c>
      <c r="F188" s="27" t="s">
        <v>28</v>
      </c>
      <c r="G188" s="27" t="s">
        <v>143</v>
      </c>
      <c r="H188" s="3">
        <v>70</v>
      </c>
      <c r="I188" s="28">
        <f>100%-J188</f>
        <v>0.81600000000000006</v>
      </c>
      <c r="J188" s="29">
        <v>0.184</v>
      </c>
      <c r="K188" s="29">
        <f t="shared" si="38"/>
        <v>0.93499999999999994</v>
      </c>
      <c r="L188" s="30">
        <v>0.02</v>
      </c>
      <c r="M188" s="30">
        <v>4.4999999999999998E-2</v>
      </c>
      <c r="N188" s="31" t="s">
        <v>6</v>
      </c>
      <c r="O188" s="62"/>
      <c r="P188" s="64"/>
      <c r="Q188" s="8">
        <f t="shared" si="37"/>
        <v>25.510833333333334</v>
      </c>
      <c r="R188" s="8">
        <f t="shared" si="35"/>
        <v>0.545686274509804</v>
      </c>
      <c r="S188" s="8">
        <f t="shared" si="36"/>
        <v>1.2277941176470588</v>
      </c>
    </row>
    <row r="189" spans="1:19" x14ac:dyDescent="0.25">
      <c r="A189" s="26" t="s">
        <v>214</v>
      </c>
      <c r="B189" s="1" t="s">
        <v>14</v>
      </c>
      <c r="C189" s="3">
        <v>5050</v>
      </c>
      <c r="D189" s="3" t="s">
        <v>82</v>
      </c>
      <c r="E189" s="3" t="s">
        <v>33</v>
      </c>
      <c r="F189" s="3" t="s">
        <v>34</v>
      </c>
      <c r="G189" s="3" t="s">
        <v>137</v>
      </c>
      <c r="H189" s="3">
        <v>70</v>
      </c>
      <c r="I189" s="32">
        <f t="shared" ref="I189:I196" si="39">100%-J189</f>
        <v>0.55000000000000004</v>
      </c>
      <c r="J189" s="33">
        <v>0.45</v>
      </c>
      <c r="K189" s="33">
        <f t="shared" si="38"/>
        <v>0.91749999999999998</v>
      </c>
      <c r="L189" s="33">
        <v>0.02</v>
      </c>
      <c r="M189" s="33">
        <v>6.25E-2</v>
      </c>
      <c r="N189" s="34" t="s">
        <v>6</v>
      </c>
      <c r="O189" s="62"/>
      <c r="P189" s="64"/>
      <c r="Q189" s="8">
        <f t="shared" si="37"/>
        <v>90.832499999999982</v>
      </c>
      <c r="R189" s="8">
        <f t="shared" si="35"/>
        <v>1.9799999999999998</v>
      </c>
      <c r="S189" s="8">
        <f t="shared" si="36"/>
        <v>6.1874999999999991</v>
      </c>
    </row>
    <row r="190" spans="1:19" x14ac:dyDescent="0.25">
      <c r="A190" s="26" t="s">
        <v>215</v>
      </c>
      <c r="B190" s="1" t="s">
        <v>14</v>
      </c>
      <c r="C190" s="3">
        <v>5050</v>
      </c>
      <c r="D190" s="3" t="s">
        <v>82</v>
      </c>
      <c r="E190" s="3" t="s">
        <v>33</v>
      </c>
      <c r="F190" s="3" t="s">
        <v>36</v>
      </c>
      <c r="G190" s="3" t="s">
        <v>137</v>
      </c>
      <c r="H190" s="3">
        <v>70</v>
      </c>
      <c r="I190" s="32">
        <f t="shared" si="39"/>
        <v>0.55000000000000004</v>
      </c>
      <c r="J190" s="33">
        <v>0.45</v>
      </c>
      <c r="K190" s="33">
        <f t="shared" si="38"/>
        <v>0.91749999999999998</v>
      </c>
      <c r="L190" s="33">
        <v>0.02</v>
      </c>
      <c r="M190" s="33">
        <v>6.25E-2</v>
      </c>
      <c r="N190" s="34" t="s">
        <v>6</v>
      </c>
      <c r="O190" s="62"/>
      <c r="P190" s="64"/>
      <c r="Q190" s="8">
        <f t="shared" si="37"/>
        <v>90.832499999999982</v>
      </c>
      <c r="R190" s="8">
        <f t="shared" si="35"/>
        <v>1.9799999999999998</v>
      </c>
      <c r="S190" s="8">
        <f t="shared" si="36"/>
        <v>6.1874999999999991</v>
      </c>
    </row>
    <row r="191" spans="1:19" x14ac:dyDescent="0.25">
      <c r="A191" s="26" t="s">
        <v>216</v>
      </c>
      <c r="B191" s="1" t="s">
        <v>14</v>
      </c>
      <c r="C191" s="2">
        <v>5050</v>
      </c>
      <c r="D191" s="3" t="s">
        <v>82</v>
      </c>
      <c r="E191" s="2" t="s">
        <v>33</v>
      </c>
      <c r="F191" s="2" t="s">
        <v>34</v>
      </c>
      <c r="G191" s="2" t="s">
        <v>139</v>
      </c>
      <c r="H191" s="3">
        <v>70</v>
      </c>
      <c r="I191" s="4">
        <f t="shared" si="39"/>
        <v>0.57000000000000006</v>
      </c>
      <c r="J191" s="5">
        <v>0.43</v>
      </c>
      <c r="K191" s="5">
        <f t="shared" si="38"/>
        <v>0.92620000000000002</v>
      </c>
      <c r="L191" s="5">
        <v>1.9999999999999997E-2</v>
      </c>
      <c r="M191" s="5">
        <v>5.3800000000000001E-2</v>
      </c>
      <c r="N191" s="6" t="s">
        <v>6</v>
      </c>
      <c r="O191" s="62"/>
      <c r="P191" s="64"/>
      <c r="Q191" s="8">
        <f t="shared" si="37"/>
        <v>84.544185964912273</v>
      </c>
      <c r="R191" s="8">
        <f t="shared" si="35"/>
        <v>1.8256140350877188</v>
      </c>
      <c r="S191" s="8">
        <f t="shared" si="36"/>
        <v>4.9109017543859643</v>
      </c>
    </row>
    <row r="192" spans="1:19" x14ac:dyDescent="0.25">
      <c r="A192" s="26" t="s">
        <v>217</v>
      </c>
      <c r="B192" s="1" t="s">
        <v>14</v>
      </c>
      <c r="C192" s="2">
        <v>5050</v>
      </c>
      <c r="D192" s="3" t="s">
        <v>82</v>
      </c>
      <c r="E192" s="2" t="s">
        <v>33</v>
      </c>
      <c r="F192" s="2" t="s">
        <v>36</v>
      </c>
      <c r="G192" s="2" t="s">
        <v>139</v>
      </c>
      <c r="H192" s="3">
        <v>70</v>
      </c>
      <c r="I192" s="4">
        <f t="shared" si="39"/>
        <v>0.56499999999999995</v>
      </c>
      <c r="J192" s="5">
        <v>0.435</v>
      </c>
      <c r="K192" s="5">
        <f t="shared" si="38"/>
        <v>0.65499999999999992</v>
      </c>
      <c r="L192" s="5">
        <v>0.3</v>
      </c>
      <c r="M192" s="5">
        <v>4.4999999999999998E-2</v>
      </c>
      <c r="N192" s="6" t="s">
        <v>6</v>
      </c>
      <c r="O192" s="62"/>
      <c r="P192" s="64"/>
      <c r="Q192" s="8">
        <f t="shared" si="37"/>
        <v>61.019336283185837</v>
      </c>
      <c r="R192" s="8">
        <f t="shared" si="35"/>
        <v>27.947787610619471</v>
      </c>
      <c r="S192" s="8">
        <f t="shared" si="36"/>
        <v>4.1921681415929202</v>
      </c>
    </row>
    <row r="193" spans="1:19" x14ac:dyDescent="0.25">
      <c r="A193" s="26" t="s">
        <v>218</v>
      </c>
      <c r="B193" s="1" t="s">
        <v>14</v>
      </c>
      <c r="C193" s="3">
        <v>5050</v>
      </c>
      <c r="D193" s="3" t="s">
        <v>82</v>
      </c>
      <c r="E193" s="3" t="s">
        <v>33</v>
      </c>
      <c r="F193" s="3" t="s">
        <v>34</v>
      </c>
      <c r="G193" s="3" t="s">
        <v>141</v>
      </c>
      <c r="H193" s="3">
        <v>70</v>
      </c>
      <c r="I193" s="32">
        <f t="shared" si="39"/>
        <v>0.7</v>
      </c>
      <c r="J193" s="35">
        <v>0.3</v>
      </c>
      <c r="K193" s="33">
        <f t="shared" si="38"/>
        <v>0.93555555555555558</v>
      </c>
      <c r="L193" s="35">
        <v>0.02</v>
      </c>
      <c r="M193" s="35">
        <v>4.4444444444444446E-2</v>
      </c>
      <c r="N193" s="34" t="s">
        <v>6</v>
      </c>
      <c r="O193" s="62"/>
      <c r="P193" s="64"/>
      <c r="Q193" s="8">
        <f t="shared" si="37"/>
        <v>48.515238095238097</v>
      </c>
      <c r="R193" s="8">
        <f t="shared" si="35"/>
        <v>1.0371428571428571</v>
      </c>
      <c r="S193" s="8">
        <f t="shared" si="36"/>
        <v>2.3047619047619046</v>
      </c>
    </row>
    <row r="194" spans="1:19" x14ac:dyDescent="0.25">
      <c r="A194" s="26" t="s">
        <v>219</v>
      </c>
      <c r="B194" s="1" t="s">
        <v>14</v>
      </c>
      <c r="C194" s="3">
        <v>5050</v>
      </c>
      <c r="D194" s="3" t="s">
        <v>82</v>
      </c>
      <c r="E194" s="3" t="s">
        <v>33</v>
      </c>
      <c r="F194" s="3" t="s">
        <v>36</v>
      </c>
      <c r="G194" s="3" t="s">
        <v>141</v>
      </c>
      <c r="H194" s="3">
        <v>70</v>
      </c>
      <c r="I194" s="32">
        <f t="shared" si="39"/>
        <v>0.69500000000000006</v>
      </c>
      <c r="J194" s="35">
        <v>0.30499999999999999</v>
      </c>
      <c r="K194" s="33">
        <f t="shared" si="38"/>
        <v>0.66499999999999992</v>
      </c>
      <c r="L194" s="35">
        <v>0.3</v>
      </c>
      <c r="M194" s="35">
        <v>3.5000000000000003E-2</v>
      </c>
      <c r="N194" s="34" t="s">
        <v>24</v>
      </c>
      <c r="O194" s="62"/>
      <c r="P194" s="64"/>
      <c r="Q194" s="8">
        <f t="shared" si="37"/>
        <v>35.311978417266175</v>
      </c>
      <c r="R194" s="8">
        <f t="shared" si="35"/>
        <v>15.930215827338126</v>
      </c>
      <c r="S194" s="8">
        <f t="shared" si="36"/>
        <v>1.8585251798561149</v>
      </c>
    </row>
    <row r="195" spans="1:19" x14ac:dyDescent="0.25">
      <c r="A195" s="26" t="s">
        <v>220</v>
      </c>
      <c r="B195" s="1" t="s">
        <v>14</v>
      </c>
      <c r="C195" s="2">
        <v>5050</v>
      </c>
      <c r="D195" s="3" t="s">
        <v>82</v>
      </c>
      <c r="E195" s="2" t="s">
        <v>33</v>
      </c>
      <c r="F195" s="2" t="s">
        <v>36</v>
      </c>
      <c r="G195" s="2" t="s">
        <v>143</v>
      </c>
      <c r="H195" s="3">
        <v>70</v>
      </c>
      <c r="I195" s="4">
        <f t="shared" si="39"/>
        <v>0.745</v>
      </c>
      <c r="J195" s="5">
        <v>0.255</v>
      </c>
      <c r="K195" s="5">
        <f>100%-L195-M195</f>
        <v>0.77300000000000002</v>
      </c>
      <c r="L195" s="9">
        <v>0.2</v>
      </c>
      <c r="M195" s="9">
        <v>2.7E-2</v>
      </c>
      <c r="N195" s="6" t="s">
        <v>24</v>
      </c>
      <c r="O195" s="62"/>
      <c r="P195" s="64"/>
      <c r="Q195" s="8">
        <f t="shared" si="37"/>
        <v>32.014651006711411</v>
      </c>
      <c r="R195" s="8">
        <f t="shared" si="35"/>
        <v>8.283221476510068</v>
      </c>
      <c r="S195" s="8">
        <f t="shared" si="36"/>
        <v>1.1182348993288591</v>
      </c>
    </row>
    <row r="196" spans="1:19" x14ac:dyDescent="0.25">
      <c r="A196" s="26" t="s">
        <v>221</v>
      </c>
      <c r="B196" s="1" t="s">
        <v>14</v>
      </c>
      <c r="C196" s="2">
        <v>5050</v>
      </c>
      <c r="D196" s="3" t="s">
        <v>82</v>
      </c>
      <c r="E196" s="2" t="s">
        <v>33</v>
      </c>
      <c r="F196" s="2" t="s">
        <v>34</v>
      </c>
      <c r="G196" s="2" t="s">
        <v>143</v>
      </c>
      <c r="H196" s="3">
        <v>70</v>
      </c>
      <c r="I196" s="4">
        <f t="shared" si="39"/>
        <v>0.68500000000000005</v>
      </c>
      <c r="J196" s="5">
        <v>0.315</v>
      </c>
      <c r="K196" s="5">
        <f>100%-L196-M196</f>
        <v>0.72799999999999998</v>
      </c>
      <c r="L196" s="9">
        <v>0.25</v>
      </c>
      <c r="M196" s="9">
        <v>2.1999999999999999E-2</v>
      </c>
      <c r="N196" s="6" t="s">
        <v>6</v>
      </c>
      <c r="O196" s="62"/>
      <c r="P196" s="64"/>
      <c r="Q196" s="8">
        <f t="shared" si="37"/>
        <v>40.507620437956199</v>
      </c>
      <c r="R196" s="8">
        <f t="shared" si="35"/>
        <v>13.910583941605838</v>
      </c>
      <c r="S196" s="8">
        <f t="shared" si="36"/>
        <v>1.2241313868613137</v>
      </c>
    </row>
    <row r="197" spans="1:19" x14ac:dyDescent="0.25">
      <c r="A197" s="1" t="s">
        <v>222</v>
      </c>
      <c r="B197" s="1" t="s">
        <v>1</v>
      </c>
      <c r="C197" s="2">
        <v>2835</v>
      </c>
      <c r="D197" s="3" t="s">
        <v>82</v>
      </c>
      <c r="E197" s="2" t="s">
        <v>3</v>
      </c>
      <c r="F197" s="2" t="s">
        <v>4</v>
      </c>
      <c r="G197" s="2" t="s">
        <v>137</v>
      </c>
      <c r="H197" s="3">
        <v>80</v>
      </c>
      <c r="I197" s="4">
        <v>0.5</v>
      </c>
      <c r="J197" s="5">
        <v>0.45</v>
      </c>
      <c r="K197" s="5">
        <f t="shared" ref="K197:K208" si="40">100%-L197-M197</f>
        <v>0.89549999999999996</v>
      </c>
      <c r="L197" s="5">
        <v>0.05</v>
      </c>
      <c r="M197" s="5">
        <v>5.45E-2</v>
      </c>
      <c r="N197" s="6" t="s">
        <v>6</v>
      </c>
      <c r="O197" s="62"/>
      <c r="P197" s="64"/>
      <c r="Q197" s="8">
        <f t="shared" si="37"/>
        <v>97.519949999999994</v>
      </c>
      <c r="R197" s="8">
        <f t="shared" si="35"/>
        <v>5.4450000000000003</v>
      </c>
      <c r="S197" s="8">
        <f t="shared" si="36"/>
        <v>5.9350500000000004</v>
      </c>
    </row>
    <row r="198" spans="1:19" x14ac:dyDescent="0.25">
      <c r="A198" s="1" t="s">
        <v>223</v>
      </c>
      <c r="B198" s="1" t="s">
        <v>1</v>
      </c>
      <c r="C198" s="2">
        <v>2835</v>
      </c>
      <c r="D198" s="3" t="s">
        <v>82</v>
      </c>
      <c r="E198" s="2" t="s">
        <v>3</v>
      </c>
      <c r="F198" s="2" t="s">
        <v>4</v>
      </c>
      <c r="G198" s="2" t="s">
        <v>139</v>
      </c>
      <c r="H198" s="3">
        <v>80</v>
      </c>
      <c r="I198" s="4">
        <f>100%-J198</f>
        <v>0.59000000000000008</v>
      </c>
      <c r="J198" s="5">
        <v>0.41</v>
      </c>
      <c r="K198" s="5">
        <f t="shared" si="40"/>
        <v>0.92449999999999999</v>
      </c>
      <c r="L198" s="5">
        <v>0.02</v>
      </c>
      <c r="M198" s="5">
        <v>5.5500000000000001E-2</v>
      </c>
      <c r="N198" s="6" t="s">
        <v>6</v>
      </c>
      <c r="O198" s="62"/>
      <c r="P198" s="64"/>
      <c r="Q198" s="8">
        <f t="shared" si="37"/>
        <v>77.736347457627105</v>
      </c>
      <c r="R198" s="8">
        <f t="shared" si="35"/>
        <v>1.6816949152542371</v>
      </c>
      <c r="S198" s="8">
        <f t="shared" si="36"/>
        <v>4.6667033898305075</v>
      </c>
    </row>
    <row r="199" spans="1:19" x14ac:dyDescent="0.25">
      <c r="A199" s="1" t="s">
        <v>224</v>
      </c>
      <c r="B199" s="1" t="s">
        <v>1</v>
      </c>
      <c r="C199" s="2">
        <v>2835</v>
      </c>
      <c r="D199" s="3" t="s">
        <v>82</v>
      </c>
      <c r="E199" s="2" t="s">
        <v>3</v>
      </c>
      <c r="F199" s="2" t="s">
        <v>4</v>
      </c>
      <c r="G199" s="2" t="s">
        <v>141</v>
      </c>
      <c r="H199" s="3">
        <v>80</v>
      </c>
      <c r="I199" s="4">
        <f t="shared" ref="I199:I201" si="41">100%-J199</f>
        <v>0.64</v>
      </c>
      <c r="J199" s="9">
        <v>0.36</v>
      </c>
      <c r="K199" s="5">
        <f t="shared" si="40"/>
        <v>0.90199999999999991</v>
      </c>
      <c r="L199" s="9">
        <v>5.7000000000000002E-2</v>
      </c>
      <c r="M199" s="9">
        <v>4.1000000000000002E-2</v>
      </c>
      <c r="N199" s="6" t="s">
        <v>6</v>
      </c>
      <c r="O199" s="62"/>
      <c r="P199" s="64"/>
      <c r="Q199" s="8">
        <f t="shared" si="37"/>
        <v>61.392374999999994</v>
      </c>
      <c r="R199" s="8">
        <f t="shared" si="35"/>
        <v>3.8795625</v>
      </c>
      <c r="S199" s="8">
        <f t="shared" si="36"/>
        <v>2.7905625000000001</v>
      </c>
    </row>
    <row r="200" spans="1:19" x14ac:dyDescent="0.25">
      <c r="A200" s="10" t="s">
        <v>225</v>
      </c>
      <c r="B200" s="1" t="s">
        <v>1</v>
      </c>
      <c r="C200" s="2">
        <v>2835</v>
      </c>
      <c r="D200" s="3" t="s">
        <v>82</v>
      </c>
      <c r="E200" s="2" t="s">
        <v>3</v>
      </c>
      <c r="F200" s="2" t="s">
        <v>4</v>
      </c>
      <c r="G200" s="2" t="s">
        <v>143</v>
      </c>
      <c r="H200" s="3">
        <v>80</v>
      </c>
      <c r="I200" s="4">
        <f t="shared" si="41"/>
        <v>0.76500000000000001</v>
      </c>
      <c r="J200" s="9">
        <v>0.23499999999999999</v>
      </c>
      <c r="K200" s="5">
        <f t="shared" si="40"/>
        <v>0.94299999999999995</v>
      </c>
      <c r="L200" s="9">
        <v>0.02</v>
      </c>
      <c r="M200" s="9">
        <v>3.6999999999999998E-2</v>
      </c>
      <c r="N200" s="6" t="s">
        <v>6</v>
      </c>
      <c r="O200" s="62"/>
      <c r="P200" s="64"/>
      <c r="Q200" s="8">
        <f t="shared" si="37"/>
        <v>35.05124836601307</v>
      </c>
      <c r="R200" s="8">
        <f t="shared" si="35"/>
        <v>0.74339869281045756</v>
      </c>
      <c r="S200" s="8">
        <f t="shared" si="36"/>
        <v>1.3752875816993464</v>
      </c>
    </row>
    <row r="201" spans="1:19" x14ac:dyDescent="0.25">
      <c r="A201" s="1" t="s">
        <v>226</v>
      </c>
      <c r="B201" s="1" t="s">
        <v>14</v>
      </c>
      <c r="C201" s="1">
        <v>3030</v>
      </c>
      <c r="D201" s="3" t="s">
        <v>82</v>
      </c>
      <c r="E201" s="1" t="s">
        <v>3</v>
      </c>
      <c r="F201" s="1" t="s">
        <v>4</v>
      </c>
      <c r="G201" s="1" t="s">
        <v>137</v>
      </c>
      <c r="H201" s="3">
        <v>80</v>
      </c>
      <c r="I201" s="11">
        <f t="shared" si="41"/>
        <v>0.63</v>
      </c>
      <c r="J201" s="12">
        <v>0.37</v>
      </c>
      <c r="K201" s="12">
        <f t="shared" si="40"/>
        <v>0.89304347826086961</v>
      </c>
      <c r="L201" s="13">
        <v>0.02</v>
      </c>
      <c r="M201" s="13">
        <v>8.6956521739130432E-2</v>
      </c>
      <c r="N201" s="6" t="s">
        <v>6</v>
      </c>
      <c r="O201" s="62"/>
      <c r="P201" s="64"/>
      <c r="Q201" s="8">
        <f t="shared" si="37"/>
        <v>63.462788129744652</v>
      </c>
      <c r="R201" s="8">
        <f t="shared" si="35"/>
        <v>1.4212698412698412</v>
      </c>
      <c r="S201" s="8">
        <f t="shared" si="36"/>
        <v>6.1794340924775701</v>
      </c>
    </row>
    <row r="202" spans="1:19" x14ac:dyDescent="0.25">
      <c r="A202" s="1" t="s">
        <v>227</v>
      </c>
      <c r="B202" s="1" t="s">
        <v>14</v>
      </c>
      <c r="C202" s="14">
        <v>3030</v>
      </c>
      <c r="D202" s="3" t="s">
        <v>82</v>
      </c>
      <c r="E202" s="14" t="s">
        <v>3</v>
      </c>
      <c r="F202" s="14" t="s">
        <v>4</v>
      </c>
      <c r="G202" s="14" t="s">
        <v>139</v>
      </c>
      <c r="H202" s="3">
        <v>80</v>
      </c>
      <c r="I202" s="15">
        <f>100%-J202</f>
        <v>0.62</v>
      </c>
      <c r="J202" s="16">
        <v>0.38</v>
      </c>
      <c r="K202" s="16">
        <f t="shared" si="40"/>
        <v>0.91500000000000004</v>
      </c>
      <c r="L202" s="17">
        <v>0.02</v>
      </c>
      <c r="M202" s="17">
        <v>6.5000000000000002E-2</v>
      </c>
      <c r="N202" s="18" t="s">
        <v>6</v>
      </c>
      <c r="O202" s="62"/>
      <c r="P202" s="64"/>
      <c r="Q202" s="8">
        <f t="shared" si="37"/>
        <v>67.857580645161292</v>
      </c>
      <c r="R202" s="8">
        <f t="shared" si="35"/>
        <v>1.4832258064516128</v>
      </c>
      <c r="S202" s="8">
        <f t="shared" si="36"/>
        <v>4.8204838709677418</v>
      </c>
    </row>
    <row r="203" spans="1:19" x14ac:dyDescent="0.25">
      <c r="A203" s="1" t="s">
        <v>228</v>
      </c>
      <c r="B203" s="1" t="s">
        <v>14</v>
      </c>
      <c r="C203" s="19">
        <v>3030</v>
      </c>
      <c r="D203" s="3" t="s">
        <v>82</v>
      </c>
      <c r="E203" s="19" t="s">
        <v>3</v>
      </c>
      <c r="F203" s="19" t="s">
        <v>4</v>
      </c>
      <c r="G203" s="19" t="s">
        <v>141</v>
      </c>
      <c r="H203" s="3">
        <v>80</v>
      </c>
      <c r="I203" s="20">
        <f t="shared" ref="I203:I209" si="42">100%-J203</f>
        <v>0.73</v>
      </c>
      <c r="J203" s="16">
        <v>0.27</v>
      </c>
      <c r="K203" s="21">
        <f t="shared" si="40"/>
        <v>0.92699999999999994</v>
      </c>
      <c r="L203" s="22">
        <v>0.02</v>
      </c>
      <c r="M203" s="22">
        <v>5.2999999999999999E-2</v>
      </c>
      <c r="N203" s="18" t="s">
        <v>6</v>
      </c>
      <c r="O203" s="62"/>
      <c r="P203" s="64"/>
      <c r="Q203" s="8">
        <f t="shared" si="37"/>
        <v>41.486424657534251</v>
      </c>
      <c r="R203" s="8">
        <f t="shared" si="35"/>
        <v>0.89506849315068504</v>
      </c>
      <c r="S203" s="8">
        <f t="shared" si="36"/>
        <v>2.3719315068493154</v>
      </c>
    </row>
    <row r="204" spans="1:19" x14ac:dyDescent="0.25">
      <c r="A204" s="1" t="s">
        <v>229</v>
      </c>
      <c r="B204" s="1" t="s">
        <v>14</v>
      </c>
      <c r="C204" s="2">
        <v>3030</v>
      </c>
      <c r="D204" s="3" t="s">
        <v>82</v>
      </c>
      <c r="E204" s="2" t="s">
        <v>3</v>
      </c>
      <c r="F204" s="2" t="s">
        <v>4</v>
      </c>
      <c r="G204" s="23" t="s">
        <v>143</v>
      </c>
      <c r="H204" s="3">
        <v>80</v>
      </c>
      <c r="I204" s="4">
        <f t="shared" si="42"/>
        <v>0.78500000000000003</v>
      </c>
      <c r="J204" s="9">
        <v>0.215</v>
      </c>
      <c r="K204" s="5">
        <f t="shared" si="40"/>
        <v>0.93652173913043479</v>
      </c>
      <c r="L204" s="24">
        <v>0.02</v>
      </c>
      <c r="M204" s="24">
        <v>4.3478260869565216E-2</v>
      </c>
      <c r="N204" s="6" t="s">
        <v>6</v>
      </c>
      <c r="O204" s="62"/>
      <c r="P204" s="64"/>
      <c r="Q204" s="8">
        <f t="shared" si="37"/>
        <v>31.036449736914985</v>
      </c>
      <c r="R204" s="8">
        <f t="shared" si="35"/>
        <v>0.66280254777070069</v>
      </c>
      <c r="S204" s="8">
        <f t="shared" si="36"/>
        <v>1.4408751038493492</v>
      </c>
    </row>
    <row r="205" spans="1:19" x14ac:dyDescent="0.25">
      <c r="A205" s="1" t="s">
        <v>230</v>
      </c>
      <c r="B205" s="1" t="s">
        <v>14</v>
      </c>
      <c r="C205" s="1">
        <v>3030</v>
      </c>
      <c r="D205" s="3" t="s">
        <v>82</v>
      </c>
      <c r="E205" s="1" t="s">
        <v>20</v>
      </c>
      <c r="F205" s="1" t="s">
        <v>21</v>
      </c>
      <c r="G205" s="1" t="s">
        <v>137</v>
      </c>
      <c r="H205" s="3">
        <v>80</v>
      </c>
      <c r="I205" s="11">
        <f t="shared" si="42"/>
        <v>0.51</v>
      </c>
      <c r="J205" s="12">
        <v>0.49</v>
      </c>
      <c r="K205" s="12">
        <f t="shared" si="40"/>
        <v>0.91333333333333333</v>
      </c>
      <c r="L205" s="12">
        <v>0.02</v>
      </c>
      <c r="M205" s="12">
        <v>6.6666666666666666E-2</v>
      </c>
      <c r="N205" s="6" t="s">
        <v>6</v>
      </c>
      <c r="O205" s="62"/>
      <c r="P205" s="64"/>
      <c r="Q205" s="8">
        <f t="shared" si="37"/>
        <v>106.17947712418301</v>
      </c>
      <c r="R205" s="8">
        <f t="shared" si="35"/>
        <v>2.3250980392156864</v>
      </c>
      <c r="S205" s="8">
        <f t="shared" si="36"/>
        <v>7.7503267973856209</v>
      </c>
    </row>
    <row r="206" spans="1:19" x14ac:dyDescent="0.25">
      <c r="A206" s="1" t="s">
        <v>231</v>
      </c>
      <c r="B206" s="1" t="s">
        <v>14</v>
      </c>
      <c r="C206" s="3">
        <v>3030</v>
      </c>
      <c r="D206" s="3" t="s">
        <v>82</v>
      </c>
      <c r="E206" s="3" t="s">
        <v>20</v>
      </c>
      <c r="F206" s="3" t="s">
        <v>21</v>
      </c>
      <c r="G206" s="3" t="s">
        <v>139</v>
      </c>
      <c r="H206" s="3">
        <v>80</v>
      </c>
      <c r="I206" s="32">
        <f t="shared" si="42"/>
        <v>0.5</v>
      </c>
      <c r="J206" s="33">
        <v>0.5</v>
      </c>
      <c r="K206" s="33">
        <f t="shared" si="40"/>
        <v>4.9999999999999982E-2</v>
      </c>
      <c r="L206" s="33">
        <v>0.89300000000000002</v>
      </c>
      <c r="M206" s="33">
        <v>5.7000000000000002E-2</v>
      </c>
      <c r="N206" s="34" t="s">
        <v>6</v>
      </c>
      <c r="O206" s="62"/>
      <c r="P206" s="64"/>
      <c r="Q206" s="8">
        <f t="shared" si="37"/>
        <v>6.049999999999998</v>
      </c>
      <c r="R206" s="8">
        <f t="shared" si="35"/>
        <v>108.053</v>
      </c>
      <c r="S206" s="8">
        <f t="shared" si="36"/>
        <v>6.8970000000000002</v>
      </c>
    </row>
    <row r="207" spans="1:19" x14ac:dyDescent="0.25">
      <c r="A207" s="1" t="s">
        <v>232</v>
      </c>
      <c r="B207" s="1" t="s">
        <v>14</v>
      </c>
      <c r="C207" s="3">
        <v>3030</v>
      </c>
      <c r="D207" s="3" t="s">
        <v>82</v>
      </c>
      <c r="E207" s="3" t="s">
        <v>20</v>
      </c>
      <c r="F207" s="3" t="s">
        <v>21</v>
      </c>
      <c r="G207" s="3" t="s">
        <v>141</v>
      </c>
      <c r="H207" s="3">
        <v>80</v>
      </c>
      <c r="I207" s="32">
        <f t="shared" si="42"/>
        <v>0.71</v>
      </c>
      <c r="J207" s="35">
        <v>0.28999999999999998</v>
      </c>
      <c r="K207" s="33">
        <f t="shared" si="40"/>
        <v>0.9284</v>
      </c>
      <c r="L207" s="33">
        <v>0.02</v>
      </c>
      <c r="M207" s="33">
        <v>5.16E-2</v>
      </c>
      <c r="N207" s="34" t="s">
        <v>6</v>
      </c>
      <c r="O207" s="62"/>
      <c r="P207" s="64"/>
      <c r="Q207" s="8">
        <f t="shared" si="37"/>
        <v>45.883881690140846</v>
      </c>
      <c r="R207" s="8">
        <f t="shared" si="35"/>
        <v>0.98845070422535219</v>
      </c>
      <c r="S207" s="8">
        <f t="shared" si="36"/>
        <v>2.5502028169014084</v>
      </c>
    </row>
    <row r="208" spans="1:19" x14ac:dyDescent="0.25">
      <c r="A208" s="10" t="s">
        <v>233</v>
      </c>
      <c r="B208" s="1" t="s">
        <v>14</v>
      </c>
      <c r="C208" s="3">
        <v>3030</v>
      </c>
      <c r="D208" s="3" t="s">
        <v>82</v>
      </c>
      <c r="E208" s="3" t="s">
        <v>20</v>
      </c>
      <c r="F208" s="3" t="s">
        <v>21</v>
      </c>
      <c r="G208" s="3" t="s">
        <v>143</v>
      </c>
      <c r="H208" s="3">
        <v>80</v>
      </c>
      <c r="I208" s="32">
        <f t="shared" si="42"/>
        <v>0.71199999999999997</v>
      </c>
      <c r="J208" s="33">
        <v>0.28799999999999998</v>
      </c>
      <c r="K208" s="33">
        <f t="shared" si="40"/>
        <v>0.68299999999999994</v>
      </c>
      <c r="L208" s="33">
        <v>0.3</v>
      </c>
      <c r="M208" s="35">
        <v>1.7000000000000001E-2</v>
      </c>
      <c r="N208" s="34" t="s">
        <v>6</v>
      </c>
      <c r="O208" s="62"/>
      <c r="P208" s="64"/>
      <c r="Q208" s="8">
        <f t="shared" si="37"/>
        <v>33.428629213483141</v>
      </c>
      <c r="R208" s="8">
        <f t="shared" si="35"/>
        <v>14.683146067415729</v>
      </c>
      <c r="S208" s="8">
        <f t="shared" si="36"/>
        <v>0.83204494382022476</v>
      </c>
    </row>
    <row r="209" spans="1:19" x14ac:dyDescent="0.25">
      <c r="A209" s="26" t="s">
        <v>234</v>
      </c>
      <c r="B209" s="1" t="s">
        <v>14</v>
      </c>
      <c r="C209" s="1">
        <v>5050</v>
      </c>
      <c r="D209" s="3" t="s">
        <v>82</v>
      </c>
      <c r="E209" s="1" t="s">
        <v>27</v>
      </c>
      <c r="F209" s="1" t="s">
        <v>28</v>
      </c>
      <c r="G209" s="1" t="s">
        <v>137</v>
      </c>
      <c r="H209" s="3">
        <v>80</v>
      </c>
      <c r="I209" s="11">
        <f t="shared" si="42"/>
        <v>0.65</v>
      </c>
      <c r="J209" s="12">
        <v>0.35</v>
      </c>
      <c r="K209" s="12">
        <f>100%-L209-M209</f>
        <v>0.89500000000000002</v>
      </c>
      <c r="L209" s="13">
        <v>0.02</v>
      </c>
      <c r="M209" s="13">
        <v>8.5000000000000006E-2</v>
      </c>
      <c r="N209" s="6" t="s">
        <v>6</v>
      </c>
      <c r="O209" s="62"/>
      <c r="P209" s="64"/>
      <c r="Q209" s="8">
        <f t="shared" si="37"/>
        <v>58.312692307692302</v>
      </c>
      <c r="R209" s="8">
        <f t="shared" si="35"/>
        <v>1.303076923076923</v>
      </c>
      <c r="S209" s="8">
        <f t="shared" si="36"/>
        <v>5.5380769230769227</v>
      </c>
    </row>
    <row r="210" spans="1:19" x14ac:dyDescent="0.25">
      <c r="A210" s="26" t="s">
        <v>235</v>
      </c>
      <c r="B210" s="1" t="s">
        <v>14</v>
      </c>
      <c r="C210" s="1">
        <v>5050</v>
      </c>
      <c r="D210" s="3" t="s">
        <v>82</v>
      </c>
      <c r="E210" s="1" t="s">
        <v>27</v>
      </c>
      <c r="F210" s="1" t="s">
        <v>28</v>
      </c>
      <c r="G210" s="1" t="s">
        <v>139</v>
      </c>
      <c r="H210" s="3">
        <v>80</v>
      </c>
      <c r="I210" s="11">
        <f>100%-J210</f>
        <v>0.68599999999999994</v>
      </c>
      <c r="J210" s="12">
        <v>0.314</v>
      </c>
      <c r="K210" s="12">
        <f t="shared" ref="K210:K218" si="43">100%-L210-M210</f>
        <v>0.90700000000000003</v>
      </c>
      <c r="L210" s="13">
        <v>0.02</v>
      </c>
      <c r="M210" s="13">
        <v>7.2999999999999995E-2</v>
      </c>
      <c r="N210" s="6" t="s">
        <v>6</v>
      </c>
      <c r="O210" s="62"/>
      <c r="P210" s="64"/>
      <c r="Q210" s="8">
        <f t="shared" si="37"/>
        <v>50.234049562682216</v>
      </c>
      <c r="R210" s="8">
        <f t="shared" si="35"/>
        <v>1.1076967930029153</v>
      </c>
      <c r="S210" s="8">
        <f t="shared" si="36"/>
        <v>4.0430932944606415</v>
      </c>
    </row>
    <row r="211" spans="1:19" x14ac:dyDescent="0.25">
      <c r="A211" s="26" t="s">
        <v>236</v>
      </c>
      <c r="B211" s="1" t="s">
        <v>14</v>
      </c>
      <c r="C211" s="2">
        <v>5050</v>
      </c>
      <c r="D211" s="3" t="s">
        <v>82</v>
      </c>
      <c r="E211" s="2" t="s">
        <v>27</v>
      </c>
      <c r="F211" s="2" t="s">
        <v>28</v>
      </c>
      <c r="G211" s="2" t="s">
        <v>141</v>
      </c>
      <c r="H211" s="3">
        <v>80</v>
      </c>
      <c r="I211" s="4">
        <f>100%-J211</f>
        <v>0.77</v>
      </c>
      <c r="J211" s="9">
        <v>0.23</v>
      </c>
      <c r="K211" s="5">
        <f t="shared" si="43"/>
        <v>0.92399999999999993</v>
      </c>
      <c r="L211" s="24">
        <v>0.02</v>
      </c>
      <c r="M211" s="24">
        <v>5.6000000000000001E-2</v>
      </c>
      <c r="N211" s="6" t="s">
        <v>6</v>
      </c>
      <c r="O211" s="62"/>
      <c r="P211" s="64"/>
      <c r="Q211" s="8">
        <f t="shared" si="37"/>
        <v>33.396000000000001</v>
      </c>
      <c r="R211" s="8">
        <f t="shared" si="35"/>
        <v>0.72285714285714298</v>
      </c>
      <c r="S211" s="8">
        <f t="shared" si="36"/>
        <v>2.024</v>
      </c>
    </row>
    <row r="212" spans="1:19" x14ac:dyDescent="0.25">
      <c r="A212" s="26" t="s">
        <v>237</v>
      </c>
      <c r="B212" s="1" t="s">
        <v>14</v>
      </c>
      <c r="C212" s="27">
        <v>5050</v>
      </c>
      <c r="D212" s="3" t="s">
        <v>82</v>
      </c>
      <c r="E212" s="27" t="s">
        <v>27</v>
      </c>
      <c r="F212" s="27" t="s">
        <v>28</v>
      </c>
      <c r="G212" s="27" t="s">
        <v>143</v>
      </c>
      <c r="H212" s="3">
        <v>80</v>
      </c>
      <c r="I212" s="28">
        <f>100%-J212</f>
        <v>0.81600000000000006</v>
      </c>
      <c r="J212" s="29">
        <v>0.184</v>
      </c>
      <c r="K212" s="29">
        <f t="shared" si="43"/>
        <v>0.93499999999999994</v>
      </c>
      <c r="L212" s="30">
        <v>0.02</v>
      </c>
      <c r="M212" s="30">
        <v>4.4999999999999998E-2</v>
      </c>
      <c r="N212" s="31" t="s">
        <v>6</v>
      </c>
      <c r="O212" s="62"/>
      <c r="P212" s="64"/>
      <c r="Q212" s="8">
        <f t="shared" si="37"/>
        <v>25.510833333333334</v>
      </c>
      <c r="R212" s="8">
        <f t="shared" si="35"/>
        <v>0.545686274509804</v>
      </c>
      <c r="S212" s="8">
        <f t="shared" si="36"/>
        <v>1.2277941176470588</v>
      </c>
    </row>
    <row r="213" spans="1:19" x14ac:dyDescent="0.25">
      <c r="A213" s="26" t="s">
        <v>238</v>
      </c>
      <c r="B213" s="1" t="s">
        <v>14</v>
      </c>
      <c r="C213" s="3">
        <v>5050</v>
      </c>
      <c r="D213" s="3" t="s">
        <v>82</v>
      </c>
      <c r="E213" s="3" t="s">
        <v>33</v>
      </c>
      <c r="F213" s="3" t="s">
        <v>34</v>
      </c>
      <c r="G213" s="3" t="s">
        <v>137</v>
      </c>
      <c r="H213" s="3">
        <v>80</v>
      </c>
      <c r="I213" s="32">
        <f t="shared" ref="I213:I238" si="44">100%-J213</f>
        <v>0.55000000000000004</v>
      </c>
      <c r="J213" s="33">
        <v>0.45</v>
      </c>
      <c r="K213" s="33">
        <f t="shared" si="43"/>
        <v>0.91749999999999998</v>
      </c>
      <c r="L213" s="33">
        <v>0.02</v>
      </c>
      <c r="M213" s="33">
        <v>6.25E-2</v>
      </c>
      <c r="N213" s="34" t="s">
        <v>6</v>
      </c>
      <c r="O213" s="62"/>
      <c r="P213" s="64"/>
      <c r="Q213" s="8">
        <f t="shared" si="37"/>
        <v>90.832499999999982</v>
      </c>
      <c r="R213" s="8">
        <f t="shared" si="35"/>
        <v>1.9799999999999998</v>
      </c>
      <c r="S213" s="8">
        <f t="shared" si="36"/>
        <v>6.1874999999999991</v>
      </c>
    </row>
    <row r="214" spans="1:19" x14ac:dyDescent="0.25">
      <c r="A214" s="26" t="s">
        <v>239</v>
      </c>
      <c r="B214" s="1" t="s">
        <v>14</v>
      </c>
      <c r="C214" s="3">
        <v>5050</v>
      </c>
      <c r="D214" s="3" t="s">
        <v>82</v>
      </c>
      <c r="E214" s="3" t="s">
        <v>33</v>
      </c>
      <c r="F214" s="3" t="s">
        <v>36</v>
      </c>
      <c r="G214" s="3" t="s">
        <v>137</v>
      </c>
      <c r="H214" s="3">
        <v>80</v>
      </c>
      <c r="I214" s="32">
        <f t="shared" si="44"/>
        <v>0.55000000000000004</v>
      </c>
      <c r="J214" s="33">
        <v>0.45</v>
      </c>
      <c r="K214" s="33">
        <f t="shared" si="43"/>
        <v>0.91749999999999998</v>
      </c>
      <c r="L214" s="33">
        <v>0.02</v>
      </c>
      <c r="M214" s="33">
        <v>6.25E-2</v>
      </c>
      <c r="N214" s="34" t="s">
        <v>6</v>
      </c>
      <c r="O214" s="62"/>
      <c r="P214" s="64"/>
      <c r="Q214" s="8">
        <f t="shared" si="37"/>
        <v>90.832499999999982</v>
      </c>
      <c r="R214" s="8">
        <f t="shared" si="35"/>
        <v>1.9799999999999998</v>
      </c>
      <c r="S214" s="8">
        <f t="shared" si="36"/>
        <v>6.1874999999999991</v>
      </c>
    </row>
    <row r="215" spans="1:19" x14ac:dyDescent="0.25">
      <c r="A215" s="26" t="s">
        <v>240</v>
      </c>
      <c r="B215" s="1" t="s">
        <v>14</v>
      </c>
      <c r="C215" s="2">
        <v>5050</v>
      </c>
      <c r="D215" s="3" t="s">
        <v>82</v>
      </c>
      <c r="E215" s="2" t="s">
        <v>33</v>
      </c>
      <c r="F215" s="2" t="s">
        <v>34</v>
      </c>
      <c r="G215" s="2" t="s">
        <v>139</v>
      </c>
      <c r="H215" s="3">
        <v>80</v>
      </c>
      <c r="I215" s="4">
        <f t="shared" si="44"/>
        <v>0.57000000000000006</v>
      </c>
      <c r="J215" s="5">
        <v>0.43</v>
      </c>
      <c r="K215" s="5">
        <f t="shared" si="43"/>
        <v>0.92620000000000002</v>
      </c>
      <c r="L215" s="5">
        <v>1.9999999999999997E-2</v>
      </c>
      <c r="M215" s="5">
        <v>5.3800000000000001E-2</v>
      </c>
      <c r="N215" s="6" t="s">
        <v>6</v>
      </c>
      <c r="O215" s="62"/>
      <c r="P215" s="64"/>
      <c r="Q215" s="8">
        <f t="shared" si="37"/>
        <v>84.544185964912273</v>
      </c>
      <c r="R215" s="8">
        <f t="shared" si="35"/>
        <v>1.8256140350877188</v>
      </c>
      <c r="S215" s="8">
        <f t="shared" si="36"/>
        <v>4.9109017543859643</v>
      </c>
    </row>
    <row r="216" spans="1:19" x14ac:dyDescent="0.25">
      <c r="A216" s="26" t="s">
        <v>241</v>
      </c>
      <c r="B216" s="1" t="s">
        <v>14</v>
      </c>
      <c r="C216" s="2">
        <v>5050</v>
      </c>
      <c r="D216" s="3" t="s">
        <v>82</v>
      </c>
      <c r="E216" s="2" t="s">
        <v>33</v>
      </c>
      <c r="F216" s="2" t="s">
        <v>36</v>
      </c>
      <c r="G216" s="2" t="s">
        <v>139</v>
      </c>
      <c r="H216" s="3">
        <v>80</v>
      </c>
      <c r="I216" s="4">
        <f t="shared" si="44"/>
        <v>0.57000000000000006</v>
      </c>
      <c r="J216" s="5">
        <v>0.43</v>
      </c>
      <c r="K216" s="5">
        <f t="shared" si="43"/>
        <v>0.92620000000000002</v>
      </c>
      <c r="L216" s="5">
        <v>1.9999999999999997E-2</v>
      </c>
      <c r="M216" s="5">
        <v>5.3800000000000001E-2</v>
      </c>
      <c r="N216" s="6" t="s">
        <v>6</v>
      </c>
      <c r="O216" s="62"/>
      <c r="P216" s="64"/>
      <c r="Q216" s="8">
        <f t="shared" si="37"/>
        <v>84.544185964912273</v>
      </c>
      <c r="R216" s="8">
        <f t="shared" si="35"/>
        <v>1.8256140350877188</v>
      </c>
      <c r="S216" s="8">
        <f t="shared" si="36"/>
        <v>4.9109017543859643</v>
      </c>
    </row>
    <row r="217" spans="1:19" x14ac:dyDescent="0.25">
      <c r="A217" s="26" t="s">
        <v>242</v>
      </c>
      <c r="B217" s="1" t="s">
        <v>14</v>
      </c>
      <c r="C217" s="3">
        <v>5050</v>
      </c>
      <c r="D217" s="3" t="s">
        <v>82</v>
      </c>
      <c r="E217" s="3" t="s">
        <v>33</v>
      </c>
      <c r="F217" s="3" t="s">
        <v>34</v>
      </c>
      <c r="G217" s="3" t="s">
        <v>141</v>
      </c>
      <c r="H217" s="3">
        <v>80</v>
      </c>
      <c r="I217" s="32">
        <f t="shared" si="44"/>
        <v>0.7</v>
      </c>
      <c r="J217" s="35">
        <v>0.3</v>
      </c>
      <c r="K217" s="33">
        <f t="shared" si="43"/>
        <v>0.93555555555555558</v>
      </c>
      <c r="L217" s="35">
        <v>0.02</v>
      </c>
      <c r="M217" s="35">
        <v>4.4444444444444446E-2</v>
      </c>
      <c r="N217" s="34" t="s">
        <v>6</v>
      </c>
      <c r="O217" s="62"/>
      <c r="P217" s="64"/>
      <c r="Q217" s="8">
        <f t="shared" si="37"/>
        <v>48.515238095238097</v>
      </c>
      <c r="R217" s="8">
        <f t="shared" si="35"/>
        <v>1.0371428571428571</v>
      </c>
      <c r="S217" s="8">
        <f t="shared" si="36"/>
        <v>2.3047619047619046</v>
      </c>
    </row>
    <row r="218" spans="1:19" x14ac:dyDescent="0.25">
      <c r="A218" s="26" t="s">
        <v>243</v>
      </c>
      <c r="B218" s="1" t="s">
        <v>14</v>
      </c>
      <c r="C218" s="3">
        <v>5050</v>
      </c>
      <c r="D218" s="3" t="s">
        <v>82</v>
      </c>
      <c r="E218" s="3" t="s">
        <v>33</v>
      </c>
      <c r="F218" s="3" t="s">
        <v>36</v>
      </c>
      <c r="G218" s="3" t="s">
        <v>141</v>
      </c>
      <c r="H218" s="3">
        <v>80</v>
      </c>
      <c r="I218" s="32">
        <f t="shared" si="44"/>
        <v>0.65999999999999992</v>
      </c>
      <c r="J218" s="35">
        <v>0.34</v>
      </c>
      <c r="K218" s="33">
        <f t="shared" si="43"/>
        <v>0.90799999999999992</v>
      </c>
      <c r="L218" s="35">
        <v>0.05</v>
      </c>
      <c r="M218" s="35">
        <v>4.2000000000000003E-2</v>
      </c>
      <c r="N218" s="34" t="s">
        <v>6</v>
      </c>
      <c r="O218" s="62"/>
      <c r="P218" s="64"/>
      <c r="Q218" s="8">
        <f t="shared" si="37"/>
        <v>56.598666666666674</v>
      </c>
      <c r="R218" s="8">
        <f t="shared" si="35"/>
        <v>3.1166666666666671</v>
      </c>
      <c r="S218" s="8">
        <f t="shared" si="36"/>
        <v>2.6180000000000008</v>
      </c>
    </row>
    <row r="219" spans="1:19" x14ac:dyDescent="0.25">
      <c r="A219" s="26" t="s">
        <v>244</v>
      </c>
      <c r="B219" s="1" t="s">
        <v>14</v>
      </c>
      <c r="C219" s="2">
        <v>5050</v>
      </c>
      <c r="D219" s="3" t="s">
        <v>82</v>
      </c>
      <c r="E219" s="2" t="s">
        <v>33</v>
      </c>
      <c r="F219" s="2" t="s">
        <v>36</v>
      </c>
      <c r="G219" s="2" t="s">
        <v>143</v>
      </c>
      <c r="H219" s="3">
        <v>80</v>
      </c>
      <c r="I219" s="4">
        <f t="shared" si="44"/>
        <v>0.71</v>
      </c>
      <c r="J219" s="5">
        <v>0.28999999999999998</v>
      </c>
      <c r="K219" s="5">
        <f>100%-L219-M219</f>
        <v>0.56699999999999995</v>
      </c>
      <c r="L219" s="9">
        <v>0.4</v>
      </c>
      <c r="M219" s="9">
        <v>3.3000000000000002E-2</v>
      </c>
      <c r="N219" s="6" t="s">
        <v>6</v>
      </c>
      <c r="O219" s="62"/>
      <c r="P219" s="64"/>
      <c r="Q219" s="8">
        <f t="shared" si="37"/>
        <v>28.022577464788732</v>
      </c>
      <c r="R219" s="8">
        <f t="shared" si="35"/>
        <v>19.769014084507045</v>
      </c>
      <c r="S219" s="8">
        <f t="shared" si="36"/>
        <v>1.6309436619718312</v>
      </c>
    </row>
    <row r="220" spans="1:19" x14ac:dyDescent="0.25">
      <c r="A220" s="26" t="s">
        <v>245</v>
      </c>
      <c r="B220" s="1" t="s">
        <v>14</v>
      </c>
      <c r="C220" s="2">
        <v>5050</v>
      </c>
      <c r="D220" s="3" t="s">
        <v>82</v>
      </c>
      <c r="E220" s="2" t="s">
        <v>33</v>
      </c>
      <c r="F220" s="2" t="s">
        <v>34</v>
      </c>
      <c r="G220" s="2" t="s">
        <v>143</v>
      </c>
      <c r="H220" s="3">
        <v>80</v>
      </c>
      <c r="I220" s="4">
        <f t="shared" si="44"/>
        <v>0.76500000000000001</v>
      </c>
      <c r="J220" s="5">
        <v>0.23499999999999999</v>
      </c>
      <c r="K220" s="5">
        <f>100%-L220-M220</f>
        <v>0.94430000000000003</v>
      </c>
      <c r="L220" s="9">
        <v>0.02</v>
      </c>
      <c r="M220" s="9">
        <v>3.5700000000000003E-2</v>
      </c>
      <c r="N220" s="6" t="s">
        <v>6</v>
      </c>
      <c r="O220" s="62"/>
      <c r="P220" s="64"/>
      <c r="Q220" s="8">
        <f t="shared" si="37"/>
        <v>35.099569281045753</v>
      </c>
      <c r="R220" s="8">
        <f t="shared" si="35"/>
        <v>0.74339869281045756</v>
      </c>
      <c r="S220" s="8">
        <f t="shared" si="36"/>
        <v>1.3269666666666668</v>
      </c>
    </row>
    <row r="221" spans="1:19" x14ac:dyDescent="0.25">
      <c r="A221" s="1" t="s">
        <v>246</v>
      </c>
      <c r="B221" s="1" t="s">
        <v>1</v>
      </c>
      <c r="C221" s="2">
        <v>2835</v>
      </c>
      <c r="D221" s="2" t="s">
        <v>15</v>
      </c>
      <c r="E221" s="2" t="s">
        <v>3</v>
      </c>
      <c r="F221" s="2" t="s">
        <v>4</v>
      </c>
      <c r="G221" s="2" t="s">
        <v>137</v>
      </c>
      <c r="H221" s="3">
        <v>80</v>
      </c>
      <c r="I221" s="4">
        <f t="shared" si="44"/>
        <v>0.46499999999999997</v>
      </c>
      <c r="J221" s="5">
        <v>0.53500000000000003</v>
      </c>
      <c r="K221" s="5">
        <f t="shared" ref="K221:K238" si="45">100%-L221-M221</f>
        <v>0.91549999999999998</v>
      </c>
      <c r="L221" s="5">
        <v>2.5000000000000001E-2</v>
      </c>
      <c r="M221" s="5">
        <v>5.9499999999999997E-2</v>
      </c>
      <c r="N221" s="6" t="s">
        <v>6</v>
      </c>
      <c r="O221" s="62"/>
      <c r="P221" s="64"/>
      <c r="Q221" s="8">
        <f t="shared" si="37"/>
        <v>127.45138172043013</v>
      </c>
      <c r="R221" s="8">
        <f t="shared" si="35"/>
        <v>3.4803763440860225</v>
      </c>
      <c r="S221" s="8">
        <f t="shared" si="36"/>
        <v>8.2832956989247322</v>
      </c>
    </row>
    <row r="222" spans="1:19" x14ac:dyDescent="0.25">
      <c r="A222" s="1" t="s">
        <v>247</v>
      </c>
      <c r="B222" s="1" t="s">
        <v>1</v>
      </c>
      <c r="C222" s="2">
        <v>2835</v>
      </c>
      <c r="D222" s="2" t="s">
        <v>15</v>
      </c>
      <c r="E222" s="2" t="s">
        <v>3</v>
      </c>
      <c r="F222" s="2" t="s">
        <v>4</v>
      </c>
      <c r="G222" s="2" t="s">
        <v>139</v>
      </c>
      <c r="H222" s="3">
        <v>80</v>
      </c>
      <c r="I222" s="4">
        <f t="shared" si="44"/>
        <v>0.59000000000000008</v>
      </c>
      <c r="J222" s="5">
        <v>0.41</v>
      </c>
      <c r="K222" s="5">
        <f t="shared" si="45"/>
        <v>0.92449999999999999</v>
      </c>
      <c r="L222" s="5">
        <v>0.02</v>
      </c>
      <c r="M222" s="5">
        <v>5.5500000000000001E-2</v>
      </c>
      <c r="N222" s="6" t="s">
        <v>6</v>
      </c>
      <c r="O222" s="62"/>
      <c r="P222" s="64"/>
      <c r="Q222" s="8">
        <f t="shared" si="37"/>
        <v>77.736347457627105</v>
      </c>
      <c r="R222" s="8">
        <f t="shared" si="35"/>
        <v>1.6816949152542371</v>
      </c>
      <c r="S222" s="8">
        <f t="shared" si="36"/>
        <v>4.6667033898305075</v>
      </c>
    </row>
    <row r="223" spans="1:19" x14ac:dyDescent="0.25">
      <c r="A223" s="1" t="s">
        <v>248</v>
      </c>
      <c r="B223" s="1" t="s">
        <v>1</v>
      </c>
      <c r="C223" s="2">
        <v>2835</v>
      </c>
      <c r="D223" s="2" t="s">
        <v>15</v>
      </c>
      <c r="E223" s="2" t="s">
        <v>3</v>
      </c>
      <c r="F223" s="2" t="s">
        <v>4</v>
      </c>
      <c r="G223" s="2" t="s">
        <v>141</v>
      </c>
      <c r="H223" s="3">
        <v>80</v>
      </c>
      <c r="I223" s="4">
        <f t="shared" si="44"/>
        <v>0.65</v>
      </c>
      <c r="J223" s="9">
        <v>0.35</v>
      </c>
      <c r="K223" s="5">
        <f t="shared" si="45"/>
        <v>0.45400000000000001</v>
      </c>
      <c r="L223" s="9">
        <v>0.5</v>
      </c>
      <c r="M223" s="9">
        <v>4.5999999999999999E-2</v>
      </c>
      <c r="N223" s="6" t="s">
        <v>6</v>
      </c>
      <c r="O223" s="62"/>
      <c r="P223" s="64"/>
      <c r="Q223" s="8">
        <f t="shared" si="37"/>
        <v>29.579846153846152</v>
      </c>
      <c r="R223" s="8">
        <f t="shared" si="35"/>
        <v>32.576923076923073</v>
      </c>
      <c r="S223" s="8">
        <f t="shared" si="36"/>
        <v>2.9970769230769227</v>
      </c>
    </row>
    <row r="224" spans="1:19" x14ac:dyDescent="0.25">
      <c r="A224" s="10" t="s">
        <v>249</v>
      </c>
      <c r="B224" s="1" t="s">
        <v>1</v>
      </c>
      <c r="C224" s="2">
        <v>2835</v>
      </c>
      <c r="D224" s="2" t="s">
        <v>15</v>
      </c>
      <c r="E224" s="2" t="s">
        <v>3</v>
      </c>
      <c r="F224" s="2" t="s">
        <v>4</v>
      </c>
      <c r="G224" s="2" t="s">
        <v>143</v>
      </c>
      <c r="H224" s="3">
        <v>80</v>
      </c>
      <c r="I224" s="4">
        <f t="shared" si="44"/>
        <v>0.71</v>
      </c>
      <c r="J224" s="9">
        <v>0.28999999999999998</v>
      </c>
      <c r="K224" s="5">
        <f t="shared" si="45"/>
        <v>0.65</v>
      </c>
      <c r="L224" s="9">
        <v>0.311</v>
      </c>
      <c r="M224" s="9">
        <v>3.9E-2</v>
      </c>
      <c r="N224" s="6" t="s">
        <v>6</v>
      </c>
      <c r="O224" s="62"/>
      <c r="P224" s="64"/>
      <c r="Q224" s="8">
        <f t="shared" si="37"/>
        <v>32.124647887323945</v>
      </c>
      <c r="R224" s="8">
        <f t="shared" si="35"/>
        <v>15.370408450704225</v>
      </c>
      <c r="S224" s="8">
        <f t="shared" si="36"/>
        <v>1.9274788732394368</v>
      </c>
    </row>
    <row r="225" spans="1:19" x14ac:dyDescent="0.25">
      <c r="A225" s="26" t="s">
        <v>250</v>
      </c>
      <c r="B225" s="1" t="s">
        <v>1</v>
      </c>
      <c r="C225" s="3">
        <v>5050</v>
      </c>
      <c r="D225" s="3" t="s">
        <v>15</v>
      </c>
      <c r="E225" s="3" t="s">
        <v>51</v>
      </c>
      <c r="F225" s="3" t="s">
        <v>52</v>
      </c>
      <c r="G225" s="3" t="s">
        <v>143</v>
      </c>
      <c r="H225" s="3">
        <v>80</v>
      </c>
      <c r="I225" s="32">
        <f t="shared" si="44"/>
        <v>0.76</v>
      </c>
      <c r="J225" s="33">
        <v>0.24</v>
      </c>
      <c r="K225" s="33">
        <f t="shared" si="45"/>
        <v>0.65699999999999992</v>
      </c>
      <c r="L225" s="36">
        <v>0.3</v>
      </c>
      <c r="M225" s="36">
        <v>4.2999999999999997E-2</v>
      </c>
      <c r="N225" s="34" t="s">
        <v>6</v>
      </c>
      <c r="O225" s="62"/>
      <c r="P225" s="64"/>
      <c r="Q225" s="8">
        <f t="shared" si="37"/>
        <v>25.104315789473681</v>
      </c>
      <c r="R225" s="8">
        <f t="shared" si="35"/>
        <v>11.463157894736842</v>
      </c>
      <c r="S225" s="8">
        <f t="shared" si="36"/>
        <v>1.6430526315789471</v>
      </c>
    </row>
    <row r="226" spans="1:19" x14ac:dyDescent="0.25">
      <c r="A226" s="26" t="s">
        <v>251</v>
      </c>
      <c r="B226" s="1" t="s">
        <v>1</v>
      </c>
      <c r="C226" s="2">
        <v>5050</v>
      </c>
      <c r="D226" s="2" t="s">
        <v>15</v>
      </c>
      <c r="E226" s="2" t="s">
        <v>51</v>
      </c>
      <c r="F226" s="2" t="s">
        <v>52</v>
      </c>
      <c r="G226" s="2" t="s">
        <v>143</v>
      </c>
      <c r="H226" s="3">
        <v>70</v>
      </c>
      <c r="I226" s="4">
        <f t="shared" si="44"/>
        <v>0.79500000000000004</v>
      </c>
      <c r="J226" s="9">
        <v>0.20499999999999999</v>
      </c>
      <c r="K226" s="5">
        <f t="shared" si="45"/>
        <v>0.57399999999999995</v>
      </c>
      <c r="L226" s="24">
        <v>0.4</v>
      </c>
      <c r="M226" s="24">
        <v>2.5999999999999999E-2</v>
      </c>
      <c r="N226" s="6" t="s">
        <v>24</v>
      </c>
      <c r="O226" s="62"/>
      <c r="P226" s="64"/>
      <c r="Q226" s="8">
        <f t="shared" si="37"/>
        <v>17.909522012578613</v>
      </c>
      <c r="R226" s="8">
        <f t="shared" si="35"/>
        <v>12.480503144654087</v>
      </c>
      <c r="S226" s="8">
        <f t="shared" si="36"/>
        <v>0.8112327044025156</v>
      </c>
    </row>
    <row r="227" spans="1:19" x14ac:dyDescent="0.25">
      <c r="A227" s="26" t="s">
        <v>252</v>
      </c>
      <c r="B227" s="1" t="s">
        <v>1</v>
      </c>
      <c r="C227" s="2">
        <v>5050</v>
      </c>
      <c r="D227" s="2" t="s">
        <v>15</v>
      </c>
      <c r="E227" s="2" t="s">
        <v>51</v>
      </c>
      <c r="F227" s="2" t="s">
        <v>52</v>
      </c>
      <c r="G227" s="2" t="s">
        <v>253</v>
      </c>
      <c r="H227" s="3">
        <v>70</v>
      </c>
      <c r="I227" s="4">
        <f t="shared" si="44"/>
        <v>0.78</v>
      </c>
      <c r="J227" s="9">
        <v>0.22</v>
      </c>
      <c r="K227" s="5">
        <f t="shared" si="45"/>
        <v>0.45900000000000002</v>
      </c>
      <c r="L227" s="24">
        <v>0.5</v>
      </c>
      <c r="M227" s="24">
        <v>4.1000000000000002E-2</v>
      </c>
      <c r="N227" s="6" t="s">
        <v>24</v>
      </c>
      <c r="O227" s="38"/>
      <c r="P227" s="38"/>
      <c r="Q227" s="8">
        <f t="shared" si="37"/>
        <v>15.664846153846153</v>
      </c>
      <c r="R227" s="8">
        <f t="shared" si="35"/>
        <v>17.064102564102562</v>
      </c>
      <c r="S227" s="8">
        <f t="shared" si="36"/>
        <v>1.3992564102564102</v>
      </c>
    </row>
    <row r="228" spans="1:19" x14ac:dyDescent="0.25">
      <c r="A228" s="26" t="s">
        <v>254</v>
      </c>
      <c r="B228" s="1" t="s">
        <v>14</v>
      </c>
      <c r="C228" s="3">
        <v>5050</v>
      </c>
      <c r="D228" s="3" t="s">
        <v>15</v>
      </c>
      <c r="E228" s="3" t="s">
        <v>33</v>
      </c>
      <c r="F228" s="3" t="s">
        <v>36</v>
      </c>
      <c r="G228" s="3" t="s">
        <v>139</v>
      </c>
      <c r="H228" s="3">
        <v>90</v>
      </c>
      <c r="I228" s="32">
        <f t="shared" si="44"/>
        <v>0.41500000000000004</v>
      </c>
      <c r="J228" s="33">
        <v>0.58499999999999996</v>
      </c>
      <c r="K228" s="33">
        <f t="shared" si="45"/>
        <v>0.89</v>
      </c>
      <c r="L228" s="36">
        <v>0</v>
      </c>
      <c r="M228" s="36">
        <v>0.11</v>
      </c>
      <c r="N228" s="34" t="s">
        <v>6</v>
      </c>
      <c r="O228" s="38"/>
      <c r="P228" s="38"/>
      <c r="Q228" s="8">
        <f t="shared" si="37"/>
        <v>151.80397590361443</v>
      </c>
      <c r="R228" s="8">
        <f t="shared" si="35"/>
        <v>0</v>
      </c>
      <c r="S228" s="8">
        <f t="shared" si="36"/>
        <v>18.762289156626505</v>
      </c>
    </row>
    <row r="229" spans="1:19" x14ac:dyDescent="0.25">
      <c r="A229" s="26" t="s">
        <v>255</v>
      </c>
      <c r="B229" s="1" t="s">
        <v>14</v>
      </c>
      <c r="C229" s="3">
        <v>5050</v>
      </c>
      <c r="D229" s="3" t="s">
        <v>15</v>
      </c>
      <c r="E229" s="3" t="s">
        <v>33</v>
      </c>
      <c r="F229" s="3" t="s">
        <v>36</v>
      </c>
      <c r="G229" s="3" t="s">
        <v>141</v>
      </c>
      <c r="H229" s="3">
        <v>90</v>
      </c>
      <c r="I229" s="32">
        <f t="shared" si="44"/>
        <v>0.48</v>
      </c>
      <c r="J229" s="33">
        <v>0.52</v>
      </c>
      <c r="K229" s="33">
        <f t="shared" si="45"/>
        <v>0.91</v>
      </c>
      <c r="L229" s="36">
        <v>0</v>
      </c>
      <c r="M229" s="36">
        <v>0.09</v>
      </c>
      <c r="N229" s="34" t="s">
        <v>6</v>
      </c>
      <c r="O229" s="38"/>
      <c r="P229" s="38"/>
      <c r="Q229" s="8">
        <f t="shared" si="37"/>
        <v>119.28583333333334</v>
      </c>
      <c r="R229" s="8">
        <f t="shared" si="35"/>
        <v>0</v>
      </c>
      <c r="S229" s="8">
        <f t="shared" si="36"/>
        <v>11.797500000000001</v>
      </c>
    </row>
    <row r="230" spans="1:19" x14ac:dyDescent="0.25">
      <c r="A230" s="26" t="s">
        <v>256</v>
      </c>
      <c r="B230" s="1" t="s">
        <v>1</v>
      </c>
      <c r="C230" s="2">
        <v>5050</v>
      </c>
      <c r="D230" s="2" t="s">
        <v>15</v>
      </c>
      <c r="E230" s="2" t="s">
        <v>51</v>
      </c>
      <c r="F230" s="2" t="s">
        <v>52</v>
      </c>
      <c r="G230" s="2" t="s">
        <v>10</v>
      </c>
      <c r="H230" s="3">
        <v>80</v>
      </c>
      <c r="I230" s="4">
        <f t="shared" si="44"/>
        <v>0.69</v>
      </c>
      <c r="J230" s="9">
        <v>0.31</v>
      </c>
      <c r="K230" s="5">
        <f t="shared" si="45"/>
        <v>0.89799999999999991</v>
      </c>
      <c r="L230" s="24">
        <v>0.05</v>
      </c>
      <c r="M230" s="24">
        <v>5.1999999999999998E-2</v>
      </c>
      <c r="N230" s="6" t="s">
        <v>6</v>
      </c>
      <c r="O230" s="38"/>
      <c r="P230" s="38"/>
      <c r="Q230" s="8">
        <f t="shared" si="37"/>
        <v>48.817362318840573</v>
      </c>
      <c r="R230" s="8">
        <f t="shared" si="35"/>
        <v>2.7181159420289855</v>
      </c>
      <c r="S230" s="8">
        <f t="shared" si="36"/>
        <v>2.826840579710145</v>
      </c>
    </row>
    <row r="231" spans="1:19" x14ac:dyDescent="0.25">
      <c r="A231" s="26" t="s">
        <v>257</v>
      </c>
      <c r="B231" s="1" t="s">
        <v>1</v>
      </c>
      <c r="C231" s="2">
        <v>5050</v>
      </c>
      <c r="D231" s="2" t="s">
        <v>15</v>
      </c>
      <c r="E231" s="2" t="s">
        <v>51</v>
      </c>
      <c r="F231" s="2" t="s">
        <v>52</v>
      </c>
      <c r="G231" s="2" t="s">
        <v>141</v>
      </c>
      <c r="H231" s="3">
        <v>80</v>
      </c>
      <c r="I231" s="4">
        <f t="shared" si="44"/>
        <v>0.69</v>
      </c>
      <c r="J231" s="9">
        <v>0.31</v>
      </c>
      <c r="K231" s="5">
        <f t="shared" si="45"/>
        <v>0.89799999999999991</v>
      </c>
      <c r="L231" s="24">
        <v>0.05</v>
      </c>
      <c r="M231" s="24">
        <v>5.1999999999999998E-2</v>
      </c>
      <c r="N231" s="6" t="s">
        <v>6</v>
      </c>
      <c r="O231" s="38"/>
      <c r="P231" s="38"/>
      <c r="Q231" s="8">
        <f t="shared" si="37"/>
        <v>48.817362318840573</v>
      </c>
      <c r="R231" s="8">
        <f t="shared" si="35"/>
        <v>2.7181159420289855</v>
      </c>
      <c r="S231" s="8">
        <f t="shared" si="36"/>
        <v>2.826840579710145</v>
      </c>
    </row>
    <row r="232" spans="1:19" x14ac:dyDescent="0.25">
      <c r="A232" s="1" t="s">
        <v>258</v>
      </c>
      <c r="B232" s="1" t="s">
        <v>1</v>
      </c>
      <c r="C232" s="2">
        <v>2835</v>
      </c>
      <c r="D232" s="2" t="s">
        <v>2</v>
      </c>
      <c r="E232" s="2" t="s">
        <v>3</v>
      </c>
      <c r="F232" s="2" t="s">
        <v>4</v>
      </c>
      <c r="G232" s="2" t="s">
        <v>259</v>
      </c>
      <c r="H232" s="3">
        <v>80</v>
      </c>
      <c r="I232" s="4">
        <f t="shared" si="44"/>
        <v>0.74</v>
      </c>
      <c r="J232" s="9">
        <v>0.26</v>
      </c>
      <c r="K232" s="5">
        <f t="shared" si="45"/>
        <v>0.91849999999999998</v>
      </c>
      <c r="L232" s="9">
        <v>0.05</v>
      </c>
      <c r="M232" s="9">
        <v>3.15E-2</v>
      </c>
      <c r="N232" s="6" t="s">
        <v>6</v>
      </c>
      <c r="O232" s="38"/>
      <c r="P232" s="38"/>
      <c r="Q232" s="8">
        <f t="shared" si="37"/>
        <v>39.048662162162167</v>
      </c>
      <c r="R232" s="8">
        <f t="shared" si="35"/>
        <v>2.1256756756756761</v>
      </c>
      <c r="S232" s="8">
        <f t="shared" si="36"/>
        <v>1.3391756756756759</v>
      </c>
    </row>
    <row r="233" spans="1:19" x14ac:dyDescent="0.25">
      <c r="A233" s="1" t="s">
        <v>260</v>
      </c>
      <c r="B233" s="1" t="s">
        <v>1</v>
      </c>
      <c r="C233" s="2">
        <v>2835</v>
      </c>
      <c r="D233" s="2" t="s">
        <v>2</v>
      </c>
      <c r="E233" s="2" t="s">
        <v>3</v>
      </c>
      <c r="F233" s="2" t="s">
        <v>4</v>
      </c>
      <c r="G233" s="2" t="s">
        <v>261</v>
      </c>
      <c r="H233" s="3">
        <v>80</v>
      </c>
      <c r="I233" s="4">
        <f t="shared" si="44"/>
        <v>0.74</v>
      </c>
      <c r="J233" s="9">
        <v>0.26</v>
      </c>
      <c r="K233" s="5">
        <f t="shared" si="45"/>
        <v>0.91849999999999998</v>
      </c>
      <c r="L233" s="9">
        <v>0.05</v>
      </c>
      <c r="M233" s="9">
        <v>3.15E-2</v>
      </c>
      <c r="N233" s="6" t="s">
        <v>6</v>
      </c>
      <c r="O233" s="38"/>
      <c r="P233" s="38"/>
      <c r="Q233" s="8">
        <f>($O$3+$P$3)/I233*J233*K233</f>
        <v>39.048662162162167</v>
      </c>
      <c r="R233" s="8">
        <f t="shared" si="35"/>
        <v>2.1256756756756761</v>
      </c>
      <c r="S233" s="8">
        <f t="shared" si="36"/>
        <v>1.3391756756756759</v>
      </c>
    </row>
    <row r="234" spans="1:19" x14ac:dyDescent="0.25">
      <c r="A234" s="26" t="s">
        <v>262</v>
      </c>
      <c r="B234" s="1" t="s">
        <v>1</v>
      </c>
      <c r="C234" s="2">
        <v>5050</v>
      </c>
      <c r="D234" s="2" t="s">
        <v>15</v>
      </c>
      <c r="E234" s="2" t="s">
        <v>51</v>
      </c>
      <c r="F234" s="2" t="s">
        <v>52</v>
      </c>
      <c r="G234" s="2" t="s">
        <v>263</v>
      </c>
      <c r="H234" s="3">
        <v>80</v>
      </c>
      <c r="I234" s="4">
        <f t="shared" si="44"/>
        <v>0.57000000000000006</v>
      </c>
      <c r="J234" s="9">
        <v>0.43</v>
      </c>
      <c r="K234" s="5">
        <f t="shared" si="45"/>
        <v>0.90100000000000002</v>
      </c>
      <c r="L234" s="24">
        <v>0.02</v>
      </c>
      <c r="M234" s="24">
        <v>7.9000000000000001E-2</v>
      </c>
      <c r="N234" s="6" t="s">
        <v>24</v>
      </c>
      <c r="O234" s="38"/>
      <c r="P234" s="38"/>
      <c r="Q234" s="8">
        <f t="shared" si="37"/>
        <v>82.24391228070175</v>
      </c>
      <c r="R234" s="8">
        <f t="shared" si="35"/>
        <v>1.8256140350877192</v>
      </c>
      <c r="S234" s="8">
        <f t="shared" si="36"/>
        <v>7.2111754385964906</v>
      </c>
    </row>
    <row r="235" spans="1:19" x14ac:dyDescent="0.25">
      <c r="A235" s="26" t="s">
        <v>264</v>
      </c>
      <c r="B235" s="1" t="s">
        <v>1</v>
      </c>
      <c r="C235" s="2">
        <v>5050</v>
      </c>
      <c r="D235" s="2" t="s">
        <v>15</v>
      </c>
      <c r="E235" s="2" t="s">
        <v>51</v>
      </c>
      <c r="F235" s="2" t="s">
        <v>52</v>
      </c>
      <c r="G235" s="2" t="s">
        <v>265</v>
      </c>
      <c r="H235" s="3">
        <v>70</v>
      </c>
      <c r="I235" s="4">
        <f t="shared" si="44"/>
        <v>0.81800000000000006</v>
      </c>
      <c r="J235" s="9">
        <v>0.182</v>
      </c>
      <c r="K235" s="5">
        <f t="shared" si="45"/>
        <v>0.57550000000000001</v>
      </c>
      <c r="L235" s="24">
        <v>0.4</v>
      </c>
      <c r="M235" s="24">
        <v>2.4500000000000001E-2</v>
      </c>
      <c r="N235" s="6" t="s">
        <v>6</v>
      </c>
      <c r="O235" s="38"/>
      <c r="P235" s="38"/>
      <c r="Q235" s="8">
        <f t="shared" si="37"/>
        <v>15.493473105134473</v>
      </c>
      <c r="R235" s="8">
        <f t="shared" si="35"/>
        <v>10.768704156479217</v>
      </c>
      <c r="S235" s="8">
        <f t="shared" si="36"/>
        <v>0.65958312958435206</v>
      </c>
    </row>
    <row r="236" spans="1:19" x14ac:dyDescent="0.25">
      <c r="A236" s="1" t="s">
        <v>267</v>
      </c>
      <c r="B236" s="1" t="s">
        <v>1</v>
      </c>
      <c r="C236" s="2">
        <v>2835</v>
      </c>
      <c r="D236" s="2" t="s">
        <v>15</v>
      </c>
      <c r="E236" s="2" t="s">
        <v>3</v>
      </c>
      <c r="F236" s="2" t="s">
        <v>4</v>
      </c>
      <c r="G236" s="2" t="s">
        <v>10</v>
      </c>
      <c r="H236" s="3">
        <v>90</v>
      </c>
      <c r="I236" s="4">
        <f t="shared" si="44"/>
        <v>0.47499999999999998</v>
      </c>
      <c r="J236" s="9">
        <v>0.52500000000000002</v>
      </c>
      <c r="K236" s="5">
        <f t="shared" si="45"/>
        <v>0.91</v>
      </c>
      <c r="L236" s="9">
        <v>0</v>
      </c>
      <c r="M236" s="9">
        <v>0.09</v>
      </c>
      <c r="N236" s="6" t="s">
        <v>24</v>
      </c>
      <c r="O236" s="38"/>
      <c r="P236" s="38"/>
      <c r="Q236" s="8">
        <f t="shared" si="37"/>
        <v>121.7005263157895</v>
      </c>
      <c r="R236" s="8">
        <f t="shared" si="35"/>
        <v>0</v>
      </c>
      <c r="S236" s="8">
        <f t="shared" si="36"/>
        <v>12.036315789473687</v>
      </c>
    </row>
    <row r="237" spans="1:19" x14ac:dyDescent="0.25">
      <c r="A237" s="1" t="s">
        <v>268</v>
      </c>
      <c r="B237" s="1" t="s">
        <v>1</v>
      </c>
      <c r="C237" s="2">
        <v>2835</v>
      </c>
      <c r="D237" s="2" t="s">
        <v>15</v>
      </c>
      <c r="E237" s="2" t="s">
        <v>3</v>
      </c>
      <c r="F237" s="2" t="s">
        <v>4</v>
      </c>
      <c r="G237" s="2" t="s">
        <v>269</v>
      </c>
      <c r="H237" s="3">
        <v>80</v>
      </c>
      <c r="I237" s="4">
        <f t="shared" si="44"/>
        <v>0.61499999999999999</v>
      </c>
      <c r="J237" s="5">
        <v>0.38500000000000001</v>
      </c>
      <c r="K237" s="5">
        <f t="shared" si="45"/>
        <v>0.44700000000000001</v>
      </c>
      <c r="L237" s="5">
        <v>0.5</v>
      </c>
      <c r="M237" s="5">
        <v>5.2999999999999999E-2</v>
      </c>
      <c r="N237" s="6" t="s">
        <v>6</v>
      </c>
      <c r="O237" s="38"/>
      <c r="P237" s="38"/>
      <c r="Q237" s="8">
        <f t="shared" si="37"/>
        <v>33.859341463414637</v>
      </c>
      <c r="R237" s="8">
        <f t="shared" si="35"/>
        <v>37.873983739837399</v>
      </c>
      <c r="S237" s="8">
        <f t="shared" si="36"/>
        <v>4.0146422764227641</v>
      </c>
    </row>
    <row r="238" spans="1:19" x14ac:dyDescent="0.25">
      <c r="A238" s="26" t="s">
        <v>270</v>
      </c>
      <c r="B238" s="1" t="s">
        <v>1</v>
      </c>
      <c r="C238" s="2">
        <v>5050</v>
      </c>
      <c r="D238" s="2" t="s">
        <v>15</v>
      </c>
      <c r="E238" s="2" t="s">
        <v>51</v>
      </c>
      <c r="F238" s="2" t="s">
        <v>52</v>
      </c>
      <c r="G238" s="2" t="s">
        <v>271</v>
      </c>
      <c r="H238" s="3">
        <v>70</v>
      </c>
      <c r="I238" s="4">
        <f t="shared" si="44"/>
        <v>0.64</v>
      </c>
      <c r="J238" s="9">
        <v>0.36</v>
      </c>
      <c r="K238" s="5">
        <f t="shared" si="45"/>
        <v>0.63749999999999996</v>
      </c>
      <c r="L238" s="24">
        <v>0.3</v>
      </c>
      <c r="M238" s="24">
        <v>6.25E-2</v>
      </c>
      <c r="N238" s="6" t="s">
        <v>24</v>
      </c>
      <c r="O238" s="38"/>
      <c r="P238" s="38"/>
      <c r="Q238" s="8">
        <f t="shared" si="37"/>
        <v>43.389843749999997</v>
      </c>
      <c r="R238" s="8">
        <f t="shared" si="35"/>
        <v>20.418749999999999</v>
      </c>
      <c r="S238" s="8">
        <f t="shared" si="36"/>
        <v>4.25390625</v>
      </c>
    </row>
  </sheetData>
  <mergeCells count="5">
    <mergeCell ref="O115:O226"/>
    <mergeCell ref="P115:P226"/>
    <mergeCell ref="K1:M1"/>
    <mergeCell ref="O3:O114"/>
    <mergeCell ref="P3:P114"/>
  </mergeCells>
  <conditionalFormatting sqref="C84:C100">
    <cfRule type="expression" dxfId="153" priority="51">
      <formula>$K84+$L84+$M84&lt;100%</formula>
    </cfRule>
    <cfRule type="expression" dxfId="152" priority="52">
      <formula>$K84+$L84+$M84&gt;100%</formula>
    </cfRule>
  </conditionalFormatting>
  <conditionalFormatting sqref="C196:C212">
    <cfRule type="expression" dxfId="151" priority="27">
      <formula>$K196+$L196+$M196&lt;100%</formula>
    </cfRule>
    <cfRule type="expression" dxfId="150" priority="28">
      <formula>$K196+$L196+$M196&gt;100%</formula>
    </cfRule>
  </conditionalFormatting>
  <conditionalFormatting sqref="C101:D108">
    <cfRule type="expression" dxfId="149" priority="49">
      <formula>$K101+$L101+$M101&lt;100%</formula>
    </cfRule>
    <cfRule type="expression" dxfId="148" priority="50">
      <formula>$K101+$L101+$M101&gt;100%</formula>
    </cfRule>
  </conditionalFormatting>
  <conditionalFormatting sqref="C213:D220">
    <cfRule type="expression" dxfId="147" priority="25">
      <formula>$K213+$L213+$M213&lt;100%</formula>
    </cfRule>
    <cfRule type="expression" dxfId="146" priority="26">
      <formula>$K213+$L213+$M213&gt;100%</formula>
    </cfRule>
  </conditionalFormatting>
  <conditionalFormatting sqref="C109:G124">
    <cfRule type="expression" dxfId="145" priority="35">
      <formula>$K109+$L109+$M109&lt;100%</formula>
    </cfRule>
    <cfRule type="expression" dxfId="144" priority="36">
      <formula>$K109+$L109+$M109&gt;100%</formula>
    </cfRule>
  </conditionalFormatting>
  <conditionalFormatting sqref="C221:G227">
    <cfRule type="expression" dxfId="143" priority="15">
      <formula>$K221+$L221+$M221&lt;100%</formula>
    </cfRule>
    <cfRule type="expression" dxfId="142" priority="16">
      <formula>$K221+$L221+$M221&gt;100%</formula>
    </cfRule>
  </conditionalFormatting>
  <conditionalFormatting sqref="C3:N83">
    <cfRule type="expression" dxfId="141" priority="47">
      <formula>$K3+$L3+$M3&lt;100%</formula>
    </cfRule>
    <cfRule type="expression" dxfId="140" priority="48">
      <formula>$K3+$L3+$M3&gt;100%</formula>
    </cfRule>
  </conditionalFormatting>
  <conditionalFormatting sqref="C3:N233">
    <cfRule type="expression" dxfId="139" priority="9">
      <formula>$N3="Да"</formula>
    </cfRule>
    <cfRule type="expression" dxfId="138" priority="10">
      <formula>$N3="Нет"</formula>
    </cfRule>
    <cfRule type="expression" dxfId="137" priority="11">
      <formula>$N3="Необходимо подтвердить"</formula>
    </cfRule>
    <cfRule type="expression" dxfId="136" priority="12">
      <formula>$N3="В работе"</formula>
    </cfRule>
  </conditionalFormatting>
  <conditionalFormatting sqref="C125:N195">
    <cfRule type="expression" dxfId="135" priority="23">
      <formula>$K125+$L125+$M125&lt;100%</formula>
    </cfRule>
    <cfRule type="expression" dxfId="134" priority="24">
      <formula>$K125+$L125+$M125&gt;100%</formula>
    </cfRule>
  </conditionalFormatting>
  <conditionalFormatting sqref="C228:N233">
    <cfRule type="expression" dxfId="133" priority="13">
      <formula>$K228+$L228+$M228&lt;100%</formula>
    </cfRule>
    <cfRule type="expression" dxfId="132" priority="14">
      <formula>$K228+$L228+$M228&gt;100%</formula>
    </cfRule>
  </conditionalFormatting>
  <conditionalFormatting sqref="C234:N238">
    <cfRule type="expression" dxfId="131" priority="1">
      <formula>$N234="Да"</formula>
    </cfRule>
    <cfRule type="expression" dxfId="130" priority="2">
      <formula>$N234="Нет"</formula>
    </cfRule>
    <cfRule type="expression" dxfId="129" priority="3">
      <formula>$N234="Необходимо подтвердить"</formula>
    </cfRule>
    <cfRule type="expression" dxfId="128" priority="4">
      <formula>$N234="В работе"</formula>
    </cfRule>
    <cfRule type="expression" dxfId="127" priority="5">
      <formula>$K234+$L234+$M234&lt;100%</formula>
    </cfRule>
    <cfRule type="expression" dxfId="126" priority="6">
      <formula>$K234+$L234+$M234&gt;100%</formula>
    </cfRule>
  </conditionalFormatting>
  <conditionalFormatting sqref="D85:D100 E85:G108">
    <cfRule type="expression" dxfId="125" priority="61">
      <formula>$K85+$L85+$M85&lt;100%</formula>
    </cfRule>
    <cfRule type="expression" dxfId="124" priority="62">
      <formula>$K85+$L85+$M85&gt;100%</formula>
    </cfRule>
  </conditionalFormatting>
  <conditionalFormatting sqref="D232:D233">
    <cfRule type="expression" dxfId="123" priority="7">
      <formula>$K232+$L232+$M232&lt;100%</formula>
    </cfRule>
    <cfRule type="expression" dxfId="122" priority="8">
      <formula>$K232+$L232+$M232&gt;100%</formula>
    </cfRule>
  </conditionalFormatting>
  <conditionalFormatting sqref="D84:N84">
    <cfRule type="expression" dxfId="121" priority="55">
      <formula>$K84+$L84+$M84&lt;100%</formula>
    </cfRule>
    <cfRule type="expression" dxfId="120" priority="56">
      <formula>$K84+$L84+$M84&gt;100%</formula>
    </cfRule>
  </conditionalFormatting>
  <conditionalFormatting sqref="D196:N196">
    <cfRule type="expression" dxfId="119" priority="31">
      <formula>$K196+$L196+$M196&lt;100%</formula>
    </cfRule>
    <cfRule type="expression" dxfId="118" priority="32">
      <formula>$K196+$L196+$M196&gt;100%</formula>
    </cfRule>
  </conditionalFormatting>
  <conditionalFormatting sqref="H85:N124 D197:D212 E197:G220">
    <cfRule type="expression" dxfId="117" priority="39">
      <formula>$K85+$L85+$M85&lt;100%</formula>
    </cfRule>
    <cfRule type="expression" dxfId="116" priority="40">
      <formula>$K85+$L85+$M85&gt;100%</formula>
    </cfRule>
  </conditionalFormatting>
  <conditionalFormatting sqref="H197:N227">
    <cfRule type="expression" dxfId="115" priority="17">
      <formula>$K197+$L197+$M197&lt;100%</formula>
    </cfRule>
    <cfRule type="expression" dxfId="114" priority="18">
      <formula>$K197+$L197+$M197&gt;100%</formula>
    </cfRule>
  </conditionalFormatting>
  <conditionalFormatting sqref="J3:M3">
    <cfRule type="expression" dxfId="113" priority="59">
      <formula>$K3+$L3+$M3&lt;100%</formula>
    </cfRule>
    <cfRule type="expression" dxfId="112" priority="60">
      <formula>$K3+$L3+$M3&gt;100%</formula>
    </cfRule>
  </conditionalFormatting>
  <conditionalFormatting sqref="J36:M36">
    <cfRule type="expression" dxfId="111" priority="63">
      <formula>$K36+$L36+$M36&lt;100%</formula>
    </cfRule>
    <cfRule type="expression" dxfId="110" priority="64">
      <formula>$K36+$L36+$M36&gt;100%</formula>
    </cfRule>
  </conditionalFormatting>
  <conditionalFormatting sqref="J61:M61">
    <cfRule type="expression" dxfId="109" priority="57">
      <formula>$K61+$L61+$M61&lt;100%</formula>
    </cfRule>
    <cfRule type="expression" dxfId="108" priority="58">
      <formula>$K61+$L61+$M61&gt;100%</formula>
    </cfRule>
  </conditionalFormatting>
  <conditionalFormatting sqref="J85:M85">
    <cfRule type="expression" dxfId="107" priority="53">
      <formula>$K85+$L85+$M85&lt;100%</formula>
    </cfRule>
    <cfRule type="expression" dxfId="106" priority="54">
      <formula>$K85+$L85+$M85&gt;100%</formula>
    </cfRule>
  </conditionalFormatting>
  <conditionalFormatting sqref="J109:M109">
    <cfRule type="expression" dxfId="105" priority="45">
      <formula>$K109+$L109+$M109&lt;100%</formula>
    </cfRule>
    <cfRule type="expression" dxfId="104" priority="46">
      <formula>$K109+$L109+$M109&gt;100%</formula>
    </cfRule>
  </conditionalFormatting>
  <conditionalFormatting sqref="J112:M112">
    <cfRule type="expression" dxfId="103" priority="43">
      <formula>$K112+$L112+$M112&lt;100%</formula>
    </cfRule>
    <cfRule type="expression" dxfId="102" priority="44">
      <formula>$K112+$L112+$M112&gt;100%</formula>
    </cfRule>
  </conditionalFormatting>
  <conditionalFormatting sqref="J115:M115">
    <cfRule type="expression" dxfId="101" priority="37">
      <formula>$K115+$L115+$M115&lt;100%</formula>
    </cfRule>
    <cfRule type="expression" dxfId="100" priority="38">
      <formula>$K115+$L115+$M115&gt;100%</formula>
    </cfRule>
  </conditionalFormatting>
  <conditionalFormatting sqref="J148:M148">
    <cfRule type="expression" dxfId="99" priority="41">
      <formula>$K148+$L148+$M148&lt;100%</formula>
    </cfRule>
    <cfRule type="expression" dxfId="98" priority="42">
      <formula>$K148+$L148+$M148&gt;100%</formula>
    </cfRule>
  </conditionalFormatting>
  <conditionalFormatting sqref="J173:M173">
    <cfRule type="expression" dxfId="97" priority="33">
      <formula>$K173+$L173+$M173&lt;100%</formula>
    </cfRule>
    <cfRule type="expression" dxfId="96" priority="34">
      <formula>$K173+$L173+$M173&gt;100%</formula>
    </cfRule>
  </conditionalFormatting>
  <conditionalFormatting sqref="J197:M197">
    <cfRule type="expression" dxfId="95" priority="29">
      <formula>$K197+$L197+$M197&lt;100%</formula>
    </cfRule>
    <cfRule type="expression" dxfId="94" priority="30">
      <formula>$K197+$L197+$M197&gt;100%</formula>
    </cfRule>
  </conditionalFormatting>
  <conditionalFormatting sqref="J221:M221">
    <cfRule type="expression" dxfId="93" priority="21">
      <formula>$K221+$L221+$M221&lt;100%</formula>
    </cfRule>
    <cfRule type="expression" dxfId="92" priority="22">
      <formula>$K221+$L221+$M221&gt;100%</formula>
    </cfRule>
  </conditionalFormatting>
  <conditionalFormatting sqref="J224:M224">
    <cfRule type="expression" dxfId="91" priority="19">
      <formula>$K224+$L224+$M224&lt;100%</formula>
    </cfRule>
    <cfRule type="expression" dxfId="90" priority="20">
      <formula>$K224+$L224+$M224&gt;100%</formula>
    </cfRule>
  </conditionalFormatting>
  <dataValidations count="1">
    <dataValidation type="list" allowBlank="1" showInputMessage="1" showErrorMessage="1" sqref="N1:N238" xr:uid="{C02B7EDA-6D2D-4AA9-9CE6-4A4D4A1BCB47}">
      <formula1>"Да,Нет"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430BE-0834-4000-B759-43E04184C4A1}">
  <sheetPr codeName="Лист2"/>
  <dimension ref="A1:S420"/>
  <sheetViews>
    <sheetView tabSelected="1" workbookViewId="0">
      <selection activeCell="N14" sqref="N14"/>
    </sheetView>
  </sheetViews>
  <sheetFormatPr defaultColWidth="9.140625" defaultRowHeight="15" x14ac:dyDescent="0.25"/>
  <cols>
    <col min="1" max="1" width="39.140625" style="54" bestFit="1" customWidth="1"/>
    <col min="2" max="2" width="12" style="54" bestFit="1" customWidth="1"/>
    <col min="3" max="3" width="9.7109375" style="54" bestFit="1" customWidth="1"/>
    <col min="4" max="4" width="13.28515625" style="54" bestFit="1" customWidth="1"/>
    <col min="5" max="5" width="12.85546875" style="54" bestFit="1" customWidth="1"/>
    <col min="6" max="6" width="13.140625" style="54" bestFit="1" customWidth="1"/>
    <col min="7" max="7" width="4.85546875" style="54" bestFit="1" customWidth="1"/>
    <col min="8" max="8" width="3.85546875" style="54" bestFit="1" customWidth="1"/>
    <col min="9" max="10" width="14.5703125" style="60" bestFit="1" customWidth="1"/>
    <col min="11" max="11" width="8.140625" style="60" bestFit="1" customWidth="1"/>
    <col min="12" max="13" width="7.140625" style="60" bestFit="1" customWidth="1"/>
    <col min="14" max="14" width="25.28515625" style="60" bestFit="1" customWidth="1"/>
    <col min="15" max="15" width="10.140625" style="54" bestFit="1" customWidth="1"/>
    <col min="16" max="16" width="12.7109375" style="54" bestFit="1" customWidth="1"/>
    <col min="17" max="17" width="16.28515625" style="54" bestFit="1" customWidth="1"/>
    <col min="18" max="19" width="13.28515625" style="54" bestFit="1" customWidth="1"/>
    <col min="20" max="16384" width="9.140625" style="38"/>
  </cols>
  <sheetData>
    <row r="1" spans="1:19" ht="45" customHeight="1" x14ac:dyDescent="0.25">
      <c r="A1" s="39" t="s">
        <v>272</v>
      </c>
      <c r="B1" s="40" t="s">
        <v>274</v>
      </c>
      <c r="C1" s="39" t="s">
        <v>273</v>
      </c>
      <c r="D1" s="40" t="s">
        <v>275</v>
      </c>
      <c r="E1" s="41" t="s">
        <v>276</v>
      </c>
      <c r="F1" s="42" t="s">
        <v>277</v>
      </c>
      <c r="G1" s="41" t="s">
        <v>291</v>
      </c>
      <c r="H1" s="42" t="s">
        <v>279</v>
      </c>
      <c r="I1" s="43" t="s">
        <v>280</v>
      </c>
      <c r="J1" s="43" t="s">
        <v>281</v>
      </c>
      <c r="K1" s="65" t="s">
        <v>274</v>
      </c>
      <c r="L1" s="66"/>
      <c r="M1" s="66"/>
      <c r="N1" s="44" t="s">
        <v>282</v>
      </c>
      <c r="O1" s="45" t="s">
        <v>283</v>
      </c>
      <c r="P1" s="45" t="s">
        <v>284</v>
      </c>
      <c r="Q1" s="46" t="s">
        <v>285</v>
      </c>
      <c r="R1" s="46" t="s">
        <v>286</v>
      </c>
      <c r="S1" s="46" t="s">
        <v>287</v>
      </c>
    </row>
    <row r="2" spans="1:19" ht="15" customHeight="1" x14ac:dyDescent="0.25">
      <c r="A2" s="47"/>
      <c r="B2" s="48"/>
      <c r="C2" s="47"/>
      <c r="D2" s="48"/>
      <c r="E2" s="48"/>
      <c r="F2" s="49"/>
      <c r="G2" s="48"/>
      <c r="H2" s="49"/>
      <c r="I2" s="50"/>
      <c r="J2" s="50"/>
      <c r="K2" s="50" t="s">
        <v>288</v>
      </c>
      <c r="L2" s="50" t="s">
        <v>289</v>
      </c>
      <c r="M2" s="50" t="s">
        <v>290</v>
      </c>
      <c r="N2" s="51"/>
      <c r="O2" s="52"/>
      <c r="P2" s="53"/>
      <c r="Q2" s="50"/>
      <c r="R2" s="50"/>
      <c r="S2" s="50"/>
    </row>
    <row r="3" spans="1:19" x14ac:dyDescent="0.25">
      <c r="A3" s="1" t="s">
        <v>292</v>
      </c>
      <c r="B3" s="2">
        <v>2835</v>
      </c>
      <c r="C3" s="1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3">
        <v>70</v>
      </c>
      <c r="I3" s="4">
        <f t="shared" ref="I3:I42" si="0">100%-J3</f>
        <v>0.55000000000000004</v>
      </c>
      <c r="J3" s="5">
        <v>0.45</v>
      </c>
      <c r="K3" s="5">
        <f t="shared" ref="K3:K66" si="1">100%-L3-M3</f>
        <v>0.9153</v>
      </c>
      <c r="L3" s="5">
        <v>0.02</v>
      </c>
      <c r="M3" s="5">
        <v>6.4699999999999994E-2</v>
      </c>
      <c r="N3" s="6" t="s">
        <v>6</v>
      </c>
      <c r="O3" s="68">
        <v>30</v>
      </c>
      <c r="P3" s="68">
        <v>3</v>
      </c>
      <c r="Q3" s="8">
        <f>($O$3+$P$3)/I3*J3*K3</f>
        <v>24.713099999999997</v>
      </c>
      <c r="R3" s="8">
        <f>($O$3+$P$3)/I3*J3*L3</f>
        <v>0.53999999999999992</v>
      </c>
      <c r="S3" s="8">
        <f>($O$3+$P$3)/I3*J3*M3</f>
        <v>1.7468999999999997</v>
      </c>
    </row>
    <row r="4" spans="1:19" x14ac:dyDescent="0.25">
      <c r="A4" s="1" t="s">
        <v>293</v>
      </c>
      <c r="B4" s="2">
        <v>2835</v>
      </c>
      <c r="C4" s="1" t="s">
        <v>1</v>
      </c>
      <c r="D4" s="2" t="s">
        <v>2</v>
      </c>
      <c r="E4" s="2" t="s">
        <v>3</v>
      </c>
      <c r="F4" s="2" t="s">
        <v>4</v>
      </c>
      <c r="G4" s="2" t="s">
        <v>8</v>
      </c>
      <c r="H4" s="3">
        <v>70</v>
      </c>
      <c r="I4" s="4">
        <f t="shared" si="0"/>
        <v>0.59000000000000008</v>
      </c>
      <c r="J4" s="5">
        <v>0.41</v>
      </c>
      <c r="K4" s="5">
        <f t="shared" si="1"/>
        <v>0.92449999999999999</v>
      </c>
      <c r="L4" s="5">
        <v>0.02</v>
      </c>
      <c r="M4" s="5">
        <v>5.5500000000000001E-2</v>
      </c>
      <c r="N4" s="6" t="s">
        <v>6</v>
      </c>
      <c r="O4" s="69"/>
      <c r="P4" s="69"/>
      <c r="Q4" s="8">
        <f t="shared" ref="Q4:Q67" si="2">($O$3+$P$3)/I4*J4*K4</f>
        <v>21.200822033898298</v>
      </c>
      <c r="R4" s="8">
        <f t="shared" ref="R4:R67" si="3">($O$3+$P$3)/I4*J4*L4</f>
        <v>0.45864406779661004</v>
      </c>
      <c r="S4" s="8">
        <f t="shared" ref="S4:S67" si="4">($O$3+$P$3)/I4*J4*M4</f>
        <v>1.2727372881355929</v>
      </c>
    </row>
    <row r="5" spans="1:19" x14ac:dyDescent="0.25">
      <c r="A5" s="1" t="s">
        <v>294</v>
      </c>
      <c r="B5" s="2">
        <v>2835</v>
      </c>
      <c r="C5" s="1" t="s">
        <v>1</v>
      </c>
      <c r="D5" s="2" t="s">
        <v>2</v>
      </c>
      <c r="E5" s="2" t="s">
        <v>3</v>
      </c>
      <c r="F5" s="2" t="s">
        <v>4</v>
      </c>
      <c r="G5" s="2" t="s">
        <v>10</v>
      </c>
      <c r="H5" s="3">
        <v>70</v>
      </c>
      <c r="I5" s="4">
        <f t="shared" si="0"/>
        <v>0.65</v>
      </c>
      <c r="J5" s="9">
        <v>0.35</v>
      </c>
      <c r="K5" s="5">
        <f t="shared" si="1"/>
        <v>0.66899999999999993</v>
      </c>
      <c r="L5" s="9">
        <v>0.3</v>
      </c>
      <c r="M5" s="9">
        <v>3.1E-2</v>
      </c>
      <c r="N5" s="6" t="s">
        <v>24</v>
      </c>
      <c r="O5" s="69"/>
      <c r="P5" s="69"/>
      <c r="Q5" s="8">
        <f t="shared" si="2"/>
        <v>11.887615384615382</v>
      </c>
      <c r="R5" s="8">
        <f t="shared" si="3"/>
        <v>5.3307692307692296</v>
      </c>
      <c r="S5" s="8">
        <f t="shared" si="4"/>
        <v>0.55084615384615376</v>
      </c>
    </row>
    <row r="6" spans="1:19" x14ac:dyDescent="0.25">
      <c r="A6" s="10" t="s">
        <v>295</v>
      </c>
      <c r="B6" s="2">
        <v>2835</v>
      </c>
      <c r="C6" s="1" t="s">
        <v>1</v>
      </c>
      <c r="D6" s="2" t="s">
        <v>2</v>
      </c>
      <c r="E6" s="2" t="s">
        <v>3</v>
      </c>
      <c r="F6" s="2" t="s">
        <v>4</v>
      </c>
      <c r="G6" s="2" t="s">
        <v>12</v>
      </c>
      <c r="H6" s="3">
        <v>70</v>
      </c>
      <c r="I6" s="4">
        <f t="shared" si="0"/>
        <v>0.74</v>
      </c>
      <c r="J6" s="9">
        <v>0.26</v>
      </c>
      <c r="K6" s="5">
        <f t="shared" si="1"/>
        <v>0.90399999999999991</v>
      </c>
      <c r="L6" s="9">
        <v>0.05</v>
      </c>
      <c r="M6" s="9">
        <v>4.5999999999999999E-2</v>
      </c>
      <c r="N6" s="6" t="s">
        <v>6</v>
      </c>
      <c r="O6" s="69"/>
      <c r="P6" s="69"/>
      <c r="Q6" s="8">
        <f t="shared" si="2"/>
        <v>10.481513513513512</v>
      </c>
      <c r="R6" s="8">
        <f t="shared" si="3"/>
        <v>0.5797297297297298</v>
      </c>
      <c r="S6" s="8">
        <f t="shared" si="4"/>
        <v>0.53335135135135137</v>
      </c>
    </row>
    <row r="7" spans="1:19" x14ac:dyDescent="0.25">
      <c r="A7" s="1" t="s">
        <v>296</v>
      </c>
      <c r="B7" s="3">
        <v>2835</v>
      </c>
      <c r="C7" s="1" t="s">
        <v>1</v>
      </c>
      <c r="D7" s="3" t="s">
        <v>2</v>
      </c>
      <c r="E7" s="3" t="s">
        <v>3</v>
      </c>
      <c r="F7" s="3" t="s">
        <v>4</v>
      </c>
      <c r="G7" s="3" t="s">
        <v>259</v>
      </c>
      <c r="H7" s="3">
        <v>70</v>
      </c>
      <c r="I7" s="32">
        <f t="shared" si="0"/>
        <v>0.83499999999999996</v>
      </c>
      <c r="J7" s="33">
        <v>0.16500000000000001</v>
      </c>
      <c r="K7" s="33">
        <f t="shared" si="1"/>
        <v>0.94428571428571428</v>
      </c>
      <c r="L7" s="33">
        <v>0.02</v>
      </c>
      <c r="M7" s="33">
        <v>3.5714285714285712E-2</v>
      </c>
      <c r="N7" s="34" t="s">
        <v>6</v>
      </c>
      <c r="O7" s="69"/>
      <c r="P7" s="69"/>
      <c r="Q7" s="8">
        <f t="shared" si="2"/>
        <v>6.1576475620188207</v>
      </c>
      <c r="R7" s="8">
        <f t="shared" si="3"/>
        <v>0.13041916167664674</v>
      </c>
      <c r="S7" s="8">
        <f t="shared" si="4"/>
        <v>0.23289136013686917</v>
      </c>
    </row>
    <row r="8" spans="1:19" x14ac:dyDescent="0.25">
      <c r="A8" s="1" t="s">
        <v>13</v>
      </c>
      <c r="B8" s="1">
        <v>3030</v>
      </c>
      <c r="C8" s="1" t="s">
        <v>14</v>
      </c>
      <c r="D8" s="1" t="s">
        <v>15</v>
      </c>
      <c r="E8" s="1" t="s">
        <v>3</v>
      </c>
      <c r="F8" s="1" t="s">
        <v>4</v>
      </c>
      <c r="G8" s="1" t="s">
        <v>5</v>
      </c>
      <c r="H8" s="3">
        <v>70</v>
      </c>
      <c r="I8" s="11">
        <f t="shared" si="0"/>
        <v>0.63</v>
      </c>
      <c r="J8" s="12">
        <v>0.37</v>
      </c>
      <c r="K8" s="12">
        <f t="shared" si="1"/>
        <v>0.89304347826086961</v>
      </c>
      <c r="L8" s="13">
        <v>0.02</v>
      </c>
      <c r="M8" s="13">
        <v>8.6956521739130432E-2</v>
      </c>
      <c r="N8" s="6" t="s">
        <v>6</v>
      </c>
      <c r="O8" s="69"/>
      <c r="P8" s="69"/>
      <c r="Q8" s="8">
        <f t="shared" si="2"/>
        <v>17.308033126293996</v>
      </c>
      <c r="R8" s="8">
        <f t="shared" si="3"/>
        <v>0.38761904761904759</v>
      </c>
      <c r="S8" s="8">
        <f t="shared" si="4"/>
        <v>1.6853002070393373</v>
      </c>
    </row>
    <row r="9" spans="1:19" s="55" customFormat="1" x14ac:dyDescent="0.25">
      <c r="A9" s="1" t="s">
        <v>16</v>
      </c>
      <c r="B9" s="14">
        <v>3030</v>
      </c>
      <c r="C9" s="1" t="s">
        <v>14</v>
      </c>
      <c r="D9" s="14" t="s">
        <v>15</v>
      </c>
      <c r="E9" s="14" t="s">
        <v>3</v>
      </c>
      <c r="F9" s="14" t="s">
        <v>4</v>
      </c>
      <c r="G9" s="14" t="s">
        <v>8</v>
      </c>
      <c r="H9" s="3">
        <v>70</v>
      </c>
      <c r="I9" s="15">
        <f t="shared" si="0"/>
        <v>0.62</v>
      </c>
      <c r="J9" s="16">
        <v>0.38</v>
      </c>
      <c r="K9" s="16">
        <f t="shared" si="1"/>
        <v>0.91500000000000004</v>
      </c>
      <c r="L9" s="17">
        <v>0.02</v>
      </c>
      <c r="M9" s="17">
        <v>6.5000000000000002E-2</v>
      </c>
      <c r="N9" s="18" t="s">
        <v>6</v>
      </c>
      <c r="O9" s="69"/>
      <c r="P9" s="69"/>
      <c r="Q9" s="8">
        <f t="shared" si="2"/>
        <v>18.506612903225808</v>
      </c>
      <c r="R9" s="8">
        <f t="shared" si="3"/>
        <v>0.40451612903225809</v>
      </c>
      <c r="S9" s="8">
        <f t="shared" si="4"/>
        <v>1.3146774193548387</v>
      </c>
    </row>
    <row r="10" spans="1:19" x14ac:dyDescent="0.25">
      <c r="A10" s="1" t="s">
        <v>17</v>
      </c>
      <c r="B10" s="19">
        <v>3030</v>
      </c>
      <c r="C10" s="1" t="s">
        <v>14</v>
      </c>
      <c r="D10" s="19" t="s">
        <v>15</v>
      </c>
      <c r="E10" s="19" t="s">
        <v>3</v>
      </c>
      <c r="F10" s="19" t="s">
        <v>4</v>
      </c>
      <c r="G10" s="19" t="s">
        <v>10</v>
      </c>
      <c r="H10" s="3">
        <v>70</v>
      </c>
      <c r="I10" s="20">
        <f t="shared" si="0"/>
        <v>0.65999999999999992</v>
      </c>
      <c r="J10" s="16">
        <v>0.34</v>
      </c>
      <c r="K10" s="21">
        <f t="shared" si="1"/>
        <v>0.66899999999999993</v>
      </c>
      <c r="L10" s="22">
        <v>0.3</v>
      </c>
      <c r="M10" s="22">
        <v>3.1E-2</v>
      </c>
      <c r="N10" s="18" t="s">
        <v>6</v>
      </c>
      <c r="O10" s="69"/>
      <c r="P10" s="69"/>
      <c r="Q10" s="8">
        <f t="shared" si="2"/>
        <v>11.373000000000001</v>
      </c>
      <c r="R10" s="8">
        <f t="shared" si="3"/>
        <v>5.1000000000000005</v>
      </c>
      <c r="S10" s="8">
        <f t="shared" si="4"/>
        <v>0.52700000000000014</v>
      </c>
    </row>
    <row r="11" spans="1:19" x14ac:dyDescent="0.25">
      <c r="A11" s="1" t="s">
        <v>18</v>
      </c>
      <c r="B11" s="2">
        <v>3030</v>
      </c>
      <c r="C11" s="1" t="s">
        <v>14</v>
      </c>
      <c r="D11" s="2" t="s">
        <v>15</v>
      </c>
      <c r="E11" s="2" t="s">
        <v>3</v>
      </c>
      <c r="F11" s="2" t="s">
        <v>4</v>
      </c>
      <c r="G11" s="23" t="s">
        <v>12</v>
      </c>
      <c r="H11" s="3">
        <v>70</v>
      </c>
      <c r="I11" s="4">
        <f t="shared" si="0"/>
        <v>0.78500000000000003</v>
      </c>
      <c r="J11" s="9">
        <v>0.215</v>
      </c>
      <c r="K11" s="5">
        <f t="shared" si="1"/>
        <v>0.93652173913043479</v>
      </c>
      <c r="L11" s="24">
        <v>0.02</v>
      </c>
      <c r="M11" s="24">
        <v>4.3478260869565216E-2</v>
      </c>
      <c r="N11" s="6" t="s">
        <v>6</v>
      </c>
      <c r="O11" s="69"/>
      <c r="P11" s="69"/>
      <c r="Q11" s="8">
        <f>($O$3+$P$3)/I11*J11*K11</f>
        <v>8.4644862918859047</v>
      </c>
      <c r="R11" s="8">
        <f t="shared" si="3"/>
        <v>0.18076433121019109</v>
      </c>
      <c r="S11" s="8">
        <f t="shared" si="4"/>
        <v>0.39296593741345887</v>
      </c>
    </row>
    <row r="12" spans="1:19" x14ac:dyDescent="0.25">
      <c r="A12" s="1" t="s">
        <v>297</v>
      </c>
      <c r="B12" s="3">
        <v>3030</v>
      </c>
      <c r="C12" s="1" t="s">
        <v>14</v>
      </c>
      <c r="D12" s="3" t="s">
        <v>15</v>
      </c>
      <c r="E12" s="3" t="s">
        <v>3</v>
      </c>
      <c r="F12" s="3" t="s">
        <v>4</v>
      </c>
      <c r="G12" s="3" t="s">
        <v>259</v>
      </c>
      <c r="H12" s="3">
        <v>70</v>
      </c>
      <c r="I12" s="32">
        <f t="shared" si="0"/>
        <v>0.8</v>
      </c>
      <c r="J12" s="33">
        <v>0.2</v>
      </c>
      <c r="K12" s="33">
        <f t="shared" si="1"/>
        <v>0.95014925373134329</v>
      </c>
      <c r="L12" s="36">
        <v>0.02</v>
      </c>
      <c r="M12" s="36">
        <v>2.9850746268656716E-2</v>
      </c>
      <c r="N12" s="34" t="s">
        <v>6</v>
      </c>
      <c r="O12" s="69"/>
      <c r="P12" s="69"/>
      <c r="Q12" s="8">
        <f t="shared" si="2"/>
        <v>7.8387313432835821</v>
      </c>
      <c r="R12" s="8">
        <f t="shared" si="3"/>
        <v>0.16500000000000001</v>
      </c>
      <c r="S12" s="8">
        <f t="shared" si="4"/>
        <v>0.2462686567164179</v>
      </c>
    </row>
    <row r="13" spans="1:19" x14ac:dyDescent="0.25">
      <c r="A13" s="1" t="s">
        <v>19</v>
      </c>
      <c r="B13" s="19">
        <v>3030</v>
      </c>
      <c r="C13" s="1" t="s">
        <v>14</v>
      </c>
      <c r="D13" s="19" t="s">
        <v>15</v>
      </c>
      <c r="E13" s="19" t="s">
        <v>20</v>
      </c>
      <c r="F13" s="19" t="s">
        <v>21</v>
      </c>
      <c r="G13" s="19" t="s">
        <v>5</v>
      </c>
      <c r="H13" s="3">
        <v>70</v>
      </c>
      <c r="I13" s="20">
        <f t="shared" si="0"/>
        <v>0.505</v>
      </c>
      <c r="J13" s="21">
        <v>0.495</v>
      </c>
      <c r="K13" s="21">
        <f t="shared" si="1"/>
        <v>0.92199999999999993</v>
      </c>
      <c r="L13" s="25">
        <v>1.9999999999999997E-2</v>
      </c>
      <c r="M13" s="25">
        <v>5.8000000000000003E-2</v>
      </c>
      <c r="N13" s="18" t="s">
        <v>266</v>
      </c>
      <c r="O13" s="69"/>
      <c r="P13" s="69"/>
      <c r="Q13" s="8">
        <f t="shared" si="2"/>
        <v>29.823504950495042</v>
      </c>
      <c r="R13" s="8">
        <f t="shared" si="3"/>
        <v>0.64693069306930673</v>
      </c>
      <c r="S13" s="8">
        <f t="shared" si="4"/>
        <v>1.8760990099009898</v>
      </c>
    </row>
    <row r="14" spans="1:19" x14ac:dyDescent="0.25">
      <c r="A14" s="1" t="s">
        <v>22</v>
      </c>
      <c r="B14" s="2">
        <v>3030</v>
      </c>
      <c r="C14" s="1" t="s">
        <v>14</v>
      </c>
      <c r="D14" s="2" t="s">
        <v>15</v>
      </c>
      <c r="E14" s="2" t="s">
        <v>20</v>
      </c>
      <c r="F14" s="2" t="s">
        <v>21</v>
      </c>
      <c r="G14" s="2" t="s">
        <v>8</v>
      </c>
      <c r="H14" s="3">
        <v>70</v>
      </c>
      <c r="I14" s="4">
        <f t="shared" si="0"/>
        <v>0.58000000000000007</v>
      </c>
      <c r="J14" s="5">
        <v>0.42</v>
      </c>
      <c r="K14" s="5">
        <f t="shared" si="1"/>
        <v>0.70299999999999996</v>
      </c>
      <c r="L14" s="5">
        <v>0.25</v>
      </c>
      <c r="M14" s="5">
        <v>4.7E-2</v>
      </c>
      <c r="N14" s="6" t="s">
        <v>24</v>
      </c>
      <c r="O14" s="69"/>
      <c r="P14" s="69"/>
      <c r="Q14" s="8">
        <f t="shared" si="2"/>
        <v>16.79927586206896</v>
      </c>
      <c r="R14" s="8">
        <f t="shared" si="3"/>
        <v>5.9741379310344813</v>
      </c>
      <c r="S14" s="8">
        <f t="shared" si="4"/>
        <v>1.1231379310344825</v>
      </c>
    </row>
    <row r="15" spans="1:19" x14ac:dyDescent="0.25">
      <c r="A15" s="1" t="s">
        <v>23</v>
      </c>
      <c r="B15" s="19">
        <v>3030</v>
      </c>
      <c r="C15" s="1" t="s">
        <v>14</v>
      </c>
      <c r="D15" s="19" t="s">
        <v>15</v>
      </c>
      <c r="E15" s="19" t="s">
        <v>20</v>
      </c>
      <c r="F15" s="19" t="s">
        <v>21</v>
      </c>
      <c r="G15" s="19" t="s">
        <v>10</v>
      </c>
      <c r="H15" s="3">
        <v>70</v>
      </c>
      <c r="I15" s="20">
        <f t="shared" si="0"/>
        <v>0.7</v>
      </c>
      <c r="J15" s="16">
        <v>0.3</v>
      </c>
      <c r="K15" s="21">
        <f t="shared" si="1"/>
        <v>0.56199999999999994</v>
      </c>
      <c r="L15" s="22">
        <v>0.4</v>
      </c>
      <c r="M15" s="22">
        <v>3.7999999999999999E-2</v>
      </c>
      <c r="N15" s="18" t="s">
        <v>24</v>
      </c>
      <c r="O15" s="69"/>
      <c r="P15" s="69"/>
      <c r="Q15" s="8">
        <f t="shared" si="2"/>
        <v>7.9482857142857144</v>
      </c>
      <c r="R15" s="8">
        <f t="shared" si="3"/>
        <v>5.6571428571428584</v>
      </c>
      <c r="S15" s="8">
        <f t="shared" si="4"/>
        <v>0.53742857142857148</v>
      </c>
    </row>
    <row r="16" spans="1:19" x14ac:dyDescent="0.25">
      <c r="A16" s="1" t="s">
        <v>25</v>
      </c>
      <c r="B16" s="19">
        <v>3030</v>
      </c>
      <c r="C16" s="1" t="s">
        <v>14</v>
      </c>
      <c r="D16" s="19" t="s">
        <v>15</v>
      </c>
      <c r="E16" s="19" t="s">
        <v>20</v>
      </c>
      <c r="F16" s="19" t="s">
        <v>21</v>
      </c>
      <c r="G16" s="19" t="s">
        <v>12</v>
      </c>
      <c r="H16" s="3">
        <v>70</v>
      </c>
      <c r="I16" s="20">
        <f t="shared" si="0"/>
        <v>0.72</v>
      </c>
      <c r="J16" s="21">
        <v>0.28000000000000003</v>
      </c>
      <c r="K16" s="21">
        <f t="shared" si="1"/>
        <v>0.67999999999999994</v>
      </c>
      <c r="L16" s="21">
        <v>0.3</v>
      </c>
      <c r="M16" s="21">
        <v>0.02</v>
      </c>
      <c r="N16" s="18" t="s">
        <v>266</v>
      </c>
      <c r="O16" s="69"/>
      <c r="P16" s="69"/>
      <c r="Q16" s="8">
        <f t="shared" si="2"/>
        <v>8.7266666666666683</v>
      </c>
      <c r="R16" s="8">
        <f t="shared" si="3"/>
        <v>3.8500000000000005</v>
      </c>
      <c r="S16" s="8">
        <f t="shared" si="4"/>
        <v>0.25666666666666671</v>
      </c>
    </row>
    <row r="17" spans="1:19" x14ac:dyDescent="0.25">
      <c r="A17" s="1" t="s">
        <v>298</v>
      </c>
      <c r="B17" s="3">
        <v>3030</v>
      </c>
      <c r="C17" s="1" t="s">
        <v>14</v>
      </c>
      <c r="D17" s="3" t="s">
        <v>15</v>
      </c>
      <c r="E17" s="3" t="s">
        <v>20</v>
      </c>
      <c r="F17" s="3" t="s">
        <v>21</v>
      </c>
      <c r="G17" s="3" t="s">
        <v>259</v>
      </c>
      <c r="H17" s="3">
        <v>70</v>
      </c>
      <c r="I17" s="32">
        <f t="shared" si="0"/>
        <v>0.8</v>
      </c>
      <c r="J17" s="33">
        <v>0.2</v>
      </c>
      <c r="K17" s="33">
        <f t="shared" si="1"/>
        <v>0.95014925373134329</v>
      </c>
      <c r="L17" s="33">
        <v>0.02</v>
      </c>
      <c r="M17" s="33">
        <v>2.9850746268656716E-2</v>
      </c>
      <c r="N17" s="34" t="s">
        <v>6</v>
      </c>
      <c r="O17" s="69"/>
      <c r="P17" s="69"/>
      <c r="Q17" s="8">
        <f t="shared" si="2"/>
        <v>7.8387313432835821</v>
      </c>
      <c r="R17" s="8">
        <f t="shared" si="3"/>
        <v>0.16500000000000001</v>
      </c>
      <c r="S17" s="8">
        <f t="shared" si="4"/>
        <v>0.2462686567164179</v>
      </c>
    </row>
    <row r="18" spans="1:19" x14ac:dyDescent="0.25">
      <c r="A18" s="26" t="s">
        <v>26</v>
      </c>
      <c r="B18" s="1">
        <v>5050</v>
      </c>
      <c r="C18" s="1" t="s">
        <v>14</v>
      </c>
      <c r="D18" s="1" t="s">
        <v>15</v>
      </c>
      <c r="E18" s="1" t="s">
        <v>27</v>
      </c>
      <c r="F18" s="1" t="s">
        <v>28</v>
      </c>
      <c r="G18" s="1" t="s">
        <v>5</v>
      </c>
      <c r="H18" s="3">
        <v>70</v>
      </c>
      <c r="I18" s="11">
        <f t="shared" si="0"/>
        <v>0.65</v>
      </c>
      <c r="J18" s="12">
        <v>0.35</v>
      </c>
      <c r="K18" s="12">
        <f t="shared" si="1"/>
        <v>0.89500000000000002</v>
      </c>
      <c r="L18" s="13">
        <v>0.02</v>
      </c>
      <c r="M18" s="13">
        <v>8.5000000000000006E-2</v>
      </c>
      <c r="N18" s="6" t="s">
        <v>6</v>
      </c>
      <c r="O18" s="69"/>
      <c r="P18" s="69"/>
      <c r="Q18" s="8">
        <f t="shared" si="2"/>
        <v>15.903461538461537</v>
      </c>
      <c r="R18" s="8">
        <f t="shared" si="3"/>
        <v>0.35538461538461535</v>
      </c>
      <c r="S18" s="8">
        <f t="shared" si="4"/>
        <v>1.5103846153846152</v>
      </c>
    </row>
    <row r="19" spans="1:19" x14ac:dyDescent="0.25">
      <c r="A19" s="26" t="s">
        <v>29</v>
      </c>
      <c r="B19" s="1">
        <v>5050</v>
      </c>
      <c r="C19" s="1" t="s">
        <v>14</v>
      </c>
      <c r="D19" s="1" t="s">
        <v>15</v>
      </c>
      <c r="E19" s="1" t="s">
        <v>27</v>
      </c>
      <c r="F19" s="1" t="s">
        <v>28</v>
      </c>
      <c r="G19" s="1" t="s">
        <v>8</v>
      </c>
      <c r="H19" s="3">
        <v>70</v>
      </c>
      <c r="I19" s="11">
        <f t="shared" si="0"/>
        <v>0.68599999999999994</v>
      </c>
      <c r="J19" s="12">
        <v>0.314</v>
      </c>
      <c r="K19" s="12">
        <f t="shared" si="1"/>
        <v>0.90700000000000003</v>
      </c>
      <c r="L19" s="13">
        <v>0.02</v>
      </c>
      <c r="M19" s="13">
        <v>7.2999999999999995E-2</v>
      </c>
      <c r="N19" s="6" t="s">
        <v>6</v>
      </c>
      <c r="O19" s="69"/>
      <c r="P19" s="69"/>
      <c r="Q19" s="8">
        <f t="shared" si="2"/>
        <v>13.70019533527697</v>
      </c>
      <c r="R19" s="8">
        <f t="shared" si="3"/>
        <v>0.30209912536443151</v>
      </c>
      <c r="S19" s="8">
        <f t="shared" si="4"/>
        <v>1.1026618075801751</v>
      </c>
    </row>
    <row r="20" spans="1:19" x14ac:dyDescent="0.25">
      <c r="A20" s="26" t="s">
        <v>30</v>
      </c>
      <c r="B20" s="2">
        <v>5050</v>
      </c>
      <c r="C20" s="1" t="s">
        <v>14</v>
      </c>
      <c r="D20" s="2" t="s">
        <v>15</v>
      </c>
      <c r="E20" s="2" t="s">
        <v>27</v>
      </c>
      <c r="F20" s="2" t="s">
        <v>28</v>
      </c>
      <c r="G20" s="2" t="s">
        <v>10</v>
      </c>
      <c r="H20" s="3">
        <v>70</v>
      </c>
      <c r="I20" s="4">
        <f t="shared" si="0"/>
        <v>0.67999999999999994</v>
      </c>
      <c r="J20" s="9">
        <v>0.32</v>
      </c>
      <c r="K20" s="5">
        <f t="shared" si="1"/>
        <v>0.66849999999999998</v>
      </c>
      <c r="L20" s="24">
        <v>0.3</v>
      </c>
      <c r="M20" s="24">
        <v>3.15E-2</v>
      </c>
      <c r="N20" s="6" t="s">
        <v>6</v>
      </c>
      <c r="O20" s="69"/>
      <c r="P20" s="69"/>
      <c r="Q20" s="8">
        <f t="shared" si="2"/>
        <v>10.381411764705883</v>
      </c>
      <c r="R20" s="8">
        <f t="shared" si="3"/>
        <v>4.658823529411765</v>
      </c>
      <c r="S20" s="8">
        <f t="shared" si="4"/>
        <v>0.48917647058823532</v>
      </c>
    </row>
    <row r="21" spans="1:19" x14ac:dyDescent="0.25">
      <c r="A21" s="26" t="s">
        <v>299</v>
      </c>
      <c r="B21" s="27">
        <v>5050</v>
      </c>
      <c r="C21" s="1" t="s">
        <v>14</v>
      </c>
      <c r="D21" s="27" t="s">
        <v>15</v>
      </c>
      <c r="E21" s="27" t="s">
        <v>27</v>
      </c>
      <c r="F21" s="27" t="s">
        <v>28</v>
      </c>
      <c r="G21" s="27" t="s">
        <v>12</v>
      </c>
      <c r="H21" s="3">
        <v>70</v>
      </c>
      <c r="I21" s="28">
        <f t="shared" si="0"/>
        <v>0.77</v>
      </c>
      <c r="J21" s="29">
        <v>0.23</v>
      </c>
      <c r="K21" s="29">
        <f t="shared" si="1"/>
        <v>0.67699999999999994</v>
      </c>
      <c r="L21" s="30">
        <v>0.3</v>
      </c>
      <c r="M21" s="30">
        <v>2.3E-2</v>
      </c>
      <c r="N21" s="31" t="s">
        <v>266</v>
      </c>
      <c r="O21" s="69"/>
      <c r="P21" s="69"/>
      <c r="Q21" s="8">
        <f t="shared" si="2"/>
        <v>6.673285714285714</v>
      </c>
      <c r="R21" s="8">
        <f t="shared" si="3"/>
        <v>2.9571428571428573</v>
      </c>
      <c r="S21" s="8">
        <f t="shared" si="4"/>
        <v>0.22671428571428573</v>
      </c>
    </row>
    <row r="22" spans="1:19" x14ac:dyDescent="0.25">
      <c r="A22" s="26" t="s">
        <v>300</v>
      </c>
      <c r="B22" s="3">
        <v>5050</v>
      </c>
      <c r="C22" s="1" t="s">
        <v>14</v>
      </c>
      <c r="D22" s="3" t="s">
        <v>15</v>
      </c>
      <c r="E22" s="3" t="s">
        <v>27</v>
      </c>
      <c r="F22" s="3" t="s">
        <v>28</v>
      </c>
      <c r="G22" s="3" t="s">
        <v>259</v>
      </c>
      <c r="H22" s="3">
        <v>70</v>
      </c>
      <c r="I22" s="32">
        <f t="shared" si="0"/>
        <v>0.83</v>
      </c>
      <c r="J22" s="33">
        <v>0.17</v>
      </c>
      <c r="K22" s="33">
        <f t="shared" si="1"/>
        <v>0.94774193548387098</v>
      </c>
      <c r="L22" s="36">
        <v>0.02</v>
      </c>
      <c r="M22" s="36">
        <v>3.2258064516129031E-2</v>
      </c>
      <c r="N22" s="34" t="s">
        <v>6</v>
      </c>
      <c r="O22" s="69"/>
      <c r="P22" s="69"/>
      <c r="Q22" s="8">
        <f t="shared" si="2"/>
        <v>6.4058219976680935</v>
      </c>
      <c r="R22" s="8">
        <f t="shared" si="3"/>
        <v>0.1351807228915663</v>
      </c>
      <c r="S22" s="8">
        <f t="shared" si="4"/>
        <v>0.2180334240186553</v>
      </c>
    </row>
    <row r="23" spans="1:19" x14ac:dyDescent="0.25">
      <c r="A23" s="26" t="s">
        <v>32</v>
      </c>
      <c r="B23" s="3">
        <v>5050</v>
      </c>
      <c r="C23" s="1" t="s">
        <v>14</v>
      </c>
      <c r="D23" s="3" t="s">
        <v>2</v>
      </c>
      <c r="E23" s="3" t="s">
        <v>33</v>
      </c>
      <c r="F23" s="3" t="s">
        <v>34</v>
      </c>
      <c r="G23" s="3" t="s">
        <v>5</v>
      </c>
      <c r="H23" s="3">
        <v>70</v>
      </c>
      <c r="I23" s="32">
        <f t="shared" si="0"/>
        <v>0.55000000000000004</v>
      </c>
      <c r="J23" s="33">
        <v>0.45</v>
      </c>
      <c r="K23" s="33">
        <f t="shared" si="1"/>
        <v>0.91749999999999998</v>
      </c>
      <c r="L23" s="33">
        <v>0.02</v>
      </c>
      <c r="M23" s="33">
        <v>6.25E-2</v>
      </c>
      <c r="N23" s="34" t="s">
        <v>6</v>
      </c>
      <c r="O23" s="69"/>
      <c r="P23" s="69"/>
      <c r="Q23" s="8">
        <f t="shared" si="2"/>
        <v>24.772499999999997</v>
      </c>
      <c r="R23" s="8">
        <f t="shared" si="3"/>
        <v>0.53999999999999992</v>
      </c>
      <c r="S23" s="8">
        <f t="shared" si="4"/>
        <v>1.6874999999999998</v>
      </c>
    </row>
    <row r="24" spans="1:19" x14ac:dyDescent="0.25">
      <c r="A24" s="26" t="s">
        <v>35</v>
      </c>
      <c r="B24" s="3">
        <v>5050</v>
      </c>
      <c r="C24" s="1" t="s">
        <v>14</v>
      </c>
      <c r="D24" s="3" t="s">
        <v>2</v>
      </c>
      <c r="E24" s="3" t="s">
        <v>33</v>
      </c>
      <c r="F24" s="3" t="s">
        <v>36</v>
      </c>
      <c r="G24" s="3" t="s">
        <v>5</v>
      </c>
      <c r="H24" s="3">
        <v>70</v>
      </c>
      <c r="I24" s="32">
        <f t="shared" si="0"/>
        <v>0.55000000000000004</v>
      </c>
      <c r="J24" s="33">
        <v>0.45</v>
      </c>
      <c r="K24" s="33">
        <f t="shared" si="1"/>
        <v>0.91749999999999998</v>
      </c>
      <c r="L24" s="33">
        <v>0.02</v>
      </c>
      <c r="M24" s="33">
        <v>6.25E-2</v>
      </c>
      <c r="N24" s="34" t="s">
        <v>6</v>
      </c>
      <c r="O24" s="69"/>
      <c r="P24" s="69"/>
      <c r="Q24" s="8">
        <f t="shared" si="2"/>
        <v>24.772499999999997</v>
      </c>
      <c r="R24" s="8">
        <f t="shared" si="3"/>
        <v>0.53999999999999992</v>
      </c>
      <c r="S24" s="8">
        <f t="shared" si="4"/>
        <v>1.6874999999999998</v>
      </c>
    </row>
    <row r="25" spans="1:19" x14ac:dyDescent="0.25">
      <c r="A25" s="26" t="s">
        <v>37</v>
      </c>
      <c r="B25" s="2">
        <v>5050</v>
      </c>
      <c r="C25" s="1" t="s">
        <v>14</v>
      </c>
      <c r="D25" s="2" t="s">
        <v>2</v>
      </c>
      <c r="E25" s="2" t="s">
        <v>33</v>
      </c>
      <c r="F25" s="2" t="s">
        <v>34</v>
      </c>
      <c r="G25" s="2" t="s">
        <v>8</v>
      </c>
      <c r="H25" s="3">
        <v>70</v>
      </c>
      <c r="I25" s="4">
        <f t="shared" si="0"/>
        <v>0.57000000000000006</v>
      </c>
      <c r="J25" s="5">
        <v>0.43</v>
      </c>
      <c r="K25" s="5">
        <f t="shared" si="1"/>
        <v>0.92620000000000002</v>
      </c>
      <c r="L25" s="5">
        <v>1.9999999999999997E-2</v>
      </c>
      <c r="M25" s="5">
        <v>5.3800000000000001E-2</v>
      </c>
      <c r="N25" s="6" t="s">
        <v>6</v>
      </c>
      <c r="O25" s="69"/>
      <c r="P25" s="69"/>
      <c r="Q25" s="8">
        <f t="shared" si="2"/>
        <v>23.057505263157893</v>
      </c>
      <c r="R25" s="8">
        <f t="shared" si="3"/>
        <v>0.49789473684210511</v>
      </c>
      <c r="S25" s="8">
        <f t="shared" si="4"/>
        <v>1.3393368421052629</v>
      </c>
    </row>
    <row r="26" spans="1:19" x14ac:dyDescent="0.25">
      <c r="A26" s="26" t="s">
        <v>38</v>
      </c>
      <c r="B26" s="2">
        <v>5050</v>
      </c>
      <c r="C26" s="1" t="s">
        <v>14</v>
      </c>
      <c r="D26" s="2" t="s">
        <v>2</v>
      </c>
      <c r="E26" s="2" t="s">
        <v>33</v>
      </c>
      <c r="F26" s="2" t="s">
        <v>36</v>
      </c>
      <c r="G26" s="2" t="s">
        <v>8</v>
      </c>
      <c r="H26" s="3">
        <v>70</v>
      </c>
      <c r="I26" s="4">
        <f t="shared" si="0"/>
        <v>0.62</v>
      </c>
      <c r="J26" s="5">
        <v>0.38</v>
      </c>
      <c r="K26" s="5">
        <f t="shared" si="1"/>
        <v>0.70299999999999996</v>
      </c>
      <c r="L26" s="5">
        <v>0.25</v>
      </c>
      <c r="M26" s="5">
        <v>4.7E-2</v>
      </c>
      <c r="N26" s="6" t="s">
        <v>6</v>
      </c>
      <c r="O26" s="69"/>
      <c r="P26" s="69"/>
      <c r="Q26" s="8">
        <f t="shared" si="2"/>
        <v>14.218741935483871</v>
      </c>
      <c r="R26" s="8">
        <f t="shared" si="3"/>
        <v>5.056451612903226</v>
      </c>
      <c r="S26" s="8">
        <f t="shared" si="4"/>
        <v>0.95061290322580649</v>
      </c>
    </row>
    <row r="27" spans="1:19" x14ac:dyDescent="0.25">
      <c r="A27" s="26" t="s">
        <v>39</v>
      </c>
      <c r="B27" s="3">
        <v>5050</v>
      </c>
      <c r="C27" s="1" t="s">
        <v>14</v>
      </c>
      <c r="D27" s="3" t="s">
        <v>2</v>
      </c>
      <c r="E27" s="3" t="s">
        <v>33</v>
      </c>
      <c r="F27" s="3" t="s">
        <v>34</v>
      </c>
      <c r="G27" s="3" t="s">
        <v>10</v>
      </c>
      <c r="H27" s="3">
        <v>70</v>
      </c>
      <c r="I27" s="32">
        <f t="shared" si="0"/>
        <v>0.7</v>
      </c>
      <c r="J27" s="35">
        <v>0.3</v>
      </c>
      <c r="K27" s="33">
        <f t="shared" si="1"/>
        <v>0.93555555555555558</v>
      </c>
      <c r="L27" s="35">
        <v>0.02</v>
      </c>
      <c r="M27" s="35">
        <v>4.4444444444444446E-2</v>
      </c>
      <c r="N27" s="34" t="s">
        <v>6</v>
      </c>
      <c r="O27" s="69"/>
      <c r="P27" s="69"/>
      <c r="Q27" s="8">
        <f t="shared" si="2"/>
        <v>13.231428571428573</v>
      </c>
      <c r="R27" s="8">
        <f t="shared" si="3"/>
        <v>0.28285714285714286</v>
      </c>
      <c r="S27" s="8">
        <f t="shared" si="4"/>
        <v>0.62857142857142867</v>
      </c>
    </row>
    <row r="28" spans="1:19" x14ac:dyDescent="0.25">
      <c r="A28" s="26" t="s">
        <v>40</v>
      </c>
      <c r="B28" s="3">
        <v>5050</v>
      </c>
      <c r="C28" s="1" t="s">
        <v>14</v>
      </c>
      <c r="D28" s="3" t="s">
        <v>2</v>
      </c>
      <c r="E28" s="3" t="s">
        <v>33</v>
      </c>
      <c r="F28" s="3" t="s">
        <v>36</v>
      </c>
      <c r="G28" s="3" t="s">
        <v>10</v>
      </c>
      <c r="H28" s="3">
        <v>70</v>
      </c>
      <c r="I28" s="32">
        <f t="shared" si="0"/>
        <v>0.59000000000000008</v>
      </c>
      <c r="J28" s="35">
        <v>0.41</v>
      </c>
      <c r="K28" s="33">
        <f t="shared" si="1"/>
        <v>0.67799999999999994</v>
      </c>
      <c r="L28" s="35">
        <v>0.3</v>
      </c>
      <c r="M28" s="35">
        <v>2.1999999999999999E-2</v>
      </c>
      <c r="N28" s="34" t="s">
        <v>266</v>
      </c>
      <c r="O28" s="69"/>
      <c r="P28" s="69"/>
      <c r="Q28" s="8">
        <f t="shared" si="2"/>
        <v>15.548033898305079</v>
      </c>
      <c r="R28" s="8">
        <f t="shared" si="3"/>
        <v>6.8796610169491501</v>
      </c>
      <c r="S28" s="8">
        <f t="shared" si="4"/>
        <v>0.50450847457627102</v>
      </c>
    </row>
    <row r="29" spans="1:19" x14ac:dyDescent="0.25">
      <c r="A29" s="26" t="s">
        <v>41</v>
      </c>
      <c r="B29" s="2">
        <v>5050</v>
      </c>
      <c r="C29" s="1" t="s">
        <v>14</v>
      </c>
      <c r="D29" s="2" t="s">
        <v>2</v>
      </c>
      <c r="E29" s="2" t="s">
        <v>33</v>
      </c>
      <c r="F29" s="2" t="s">
        <v>36</v>
      </c>
      <c r="G29" s="2" t="s">
        <v>12</v>
      </c>
      <c r="H29" s="3">
        <v>70</v>
      </c>
      <c r="I29" s="4">
        <f t="shared" si="0"/>
        <v>0.76</v>
      </c>
      <c r="J29" s="5">
        <v>0.24</v>
      </c>
      <c r="K29" s="5">
        <f t="shared" si="1"/>
        <v>0.67699999999999994</v>
      </c>
      <c r="L29" s="9">
        <v>0.3</v>
      </c>
      <c r="M29" s="9">
        <v>2.3E-2</v>
      </c>
      <c r="N29" s="6" t="s">
        <v>266</v>
      </c>
      <c r="O29" s="69"/>
      <c r="P29" s="69"/>
      <c r="Q29" s="8">
        <f t="shared" si="2"/>
        <v>7.0550526315789464</v>
      </c>
      <c r="R29" s="8">
        <f t="shared" si="3"/>
        <v>3.1263157894736842</v>
      </c>
      <c r="S29" s="8">
        <f t="shared" si="4"/>
        <v>0.23968421052631578</v>
      </c>
    </row>
    <row r="30" spans="1:19" x14ac:dyDescent="0.25">
      <c r="A30" s="26" t="s">
        <v>42</v>
      </c>
      <c r="B30" s="2">
        <v>5050</v>
      </c>
      <c r="C30" s="1" t="s">
        <v>14</v>
      </c>
      <c r="D30" s="2" t="s">
        <v>2</v>
      </c>
      <c r="E30" s="2" t="s">
        <v>33</v>
      </c>
      <c r="F30" s="2" t="s">
        <v>34</v>
      </c>
      <c r="G30" s="2" t="s">
        <v>12</v>
      </c>
      <c r="H30" s="3">
        <v>70</v>
      </c>
      <c r="I30" s="4">
        <f t="shared" si="0"/>
        <v>0.76500000000000001</v>
      </c>
      <c r="J30" s="5">
        <v>0.23499999999999999</v>
      </c>
      <c r="K30" s="5">
        <f t="shared" si="1"/>
        <v>0.94430000000000003</v>
      </c>
      <c r="L30" s="9">
        <v>0.02</v>
      </c>
      <c r="M30" s="9">
        <v>3.5700000000000003E-2</v>
      </c>
      <c r="N30" s="6" t="s">
        <v>6</v>
      </c>
      <c r="O30" s="69"/>
      <c r="P30" s="69"/>
      <c r="Q30" s="8">
        <f t="shared" si="2"/>
        <v>9.5726098039215675</v>
      </c>
      <c r="R30" s="8">
        <f t="shared" si="3"/>
        <v>0.20274509803921564</v>
      </c>
      <c r="S30" s="8">
        <f t="shared" si="4"/>
        <v>0.36189999999999994</v>
      </c>
    </row>
    <row r="31" spans="1:19" x14ac:dyDescent="0.25">
      <c r="A31" s="26" t="s">
        <v>301</v>
      </c>
      <c r="B31" s="3">
        <v>5050</v>
      </c>
      <c r="C31" s="1" t="s">
        <v>14</v>
      </c>
      <c r="D31" s="3" t="s">
        <v>2</v>
      </c>
      <c r="E31" s="3" t="s">
        <v>33</v>
      </c>
      <c r="F31" s="3" t="s">
        <v>34</v>
      </c>
      <c r="G31" s="3" t="s">
        <v>259</v>
      </c>
      <c r="H31" s="3">
        <v>70</v>
      </c>
      <c r="I31" s="32">
        <f t="shared" si="0"/>
        <v>0.83</v>
      </c>
      <c r="J31" s="33">
        <v>0.17</v>
      </c>
      <c r="K31" s="33">
        <f t="shared" si="1"/>
        <v>0.94774193548387098</v>
      </c>
      <c r="L31" s="33">
        <v>0.02</v>
      </c>
      <c r="M31" s="33">
        <v>3.2258064516129031E-2</v>
      </c>
      <c r="N31" s="34" t="s">
        <v>6</v>
      </c>
      <c r="O31" s="69"/>
      <c r="P31" s="69"/>
      <c r="Q31" s="8">
        <f t="shared" si="2"/>
        <v>6.4058219976680935</v>
      </c>
      <c r="R31" s="8">
        <f t="shared" si="3"/>
        <v>0.1351807228915663</v>
      </c>
      <c r="S31" s="8">
        <f t="shared" si="4"/>
        <v>0.2180334240186553</v>
      </c>
    </row>
    <row r="32" spans="1:19" x14ac:dyDescent="0.25">
      <c r="A32" s="26" t="s">
        <v>302</v>
      </c>
      <c r="B32" s="3">
        <v>5050</v>
      </c>
      <c r="C32" s="1" t="s">
        <v>14</v>
      </c>
      <c r="D32" s="3" t="s">
        <v>2</v>
      </c>
      <c r="E32" s="3" t="s">
        <v>33</v>
      </c>
      <c r="F32" s="3" t="s">
        <v>36</v>
      </c>
      <c r="G32" s="3" t="s">
        <v>259</v>
      </c>
      <c r="H32" s="3">
        <v>70</v>
      </c>
      <c r="I32" s="32">
        <f t="shared" si="0"/>
        <v>0.83</v>
      </c>
      <c r="J32" s="33">
        <v>0.17</v>
      </c>
      <c r="K32" s="33">
        <f t="shared" si="1"/>
        <v>0.94774193548387098</v>
      </c>
      <c r="L32" s="33">
        <v>0.02</v>
      </c>
      <c r="M32" s="33">
        <v>3.2258064516129031E-2</v>
      </c>
      <c r="N32" s="34" t="s">
        <v>6</v>
      </c>
      <c r="O32" s="69"/>
      <c r="P32" s="69"/>
      <c r="Q32" s="8">
        <f t="shared" si="2"/>
        <v>6.4058219976680935</v>
      </c>
      <c r="R32" s="8">
        <f t="shared" si="3"/>
        <v>0.1351807228915663</v>
      </c>
      <c r="S32" s="8">
        <f t="shared" si="4"/>
        <v>0.2180334240186553</v>
      </c>
    </row>
    <row r="33" spans="1:19" x14ac:dyDescent="0.25">
      <c r="A33" s="26" t="s">
        <v>43</v>
      </c>
      <c r="B33" s="3">
        <v>5050</v>
      </c>
      <c r="C33" s="26" t="s">
        <v>14</v>
      </c>
      <c r="D33" s="3" t="s">
        <v>15</v>
      </c>
      <c r="E33" s="3" t="s">
        <v>33</v>
      </c>
      <c r="F33" s="3" t="s">
        <v>34</v>
      </c>
      <c r="G33" s="3" t="s">
        <v>5</v>
      </c>
      <c r="H33" s="3">
        <v>70</v>
      </c>
      <c r="I33" s="32">
        <f t="shared" si="0"/>
        <v>0.62</v>
      </c>
      <c r="J33" s="33">
        <v>0.38</v>
      </c>
      <c r="K33" s="33">
        <f t="shared" si="1"/>
        <v>0.58099999999999996</v>
      </c>
      <c r="L33" s="36">
        <v>0.35</v>
      </c>
      <c r="M33" s="36">
        <v>6.9000000000000006E-2</v>
      </c>
      <c r="N33" s="34" t="s">
        <v>24</v>
      </c>
      <c r="O33" s="69"/>
      <c r="P33" s="69"/>
      <c r="Q33" s="8">
        <f t="shared" si="2"/>
        <v>11.751193548387096</v>
      </c>
      <c r="R33" s="8">
        <f t="shared" si="3"/>
        <v>7.0790322580645162</v>
      </c>
      <c r="S33" s="8">
        <f t="shared" si="4"/>
        <v>1.3955806451612904</v>
      </c>
    </row>
    <row r="34" spans="1:19" x14ac:dyDescent="0.25">
      <c r="A34" s="26" t="s">
        <v>45</v>
      </c>
      <c r="B34" s="3">
        <v>5050</v>
      </c>
      <c r="C34" s="26" t="s">
        <v>14</v>
      </c>
      <c r="D34" s="3" t="s">
        <v>15</v>
      </c>
      <c r="E34" s="3" t="s">
        <v>33</v>
      </c>
      <c r="F34" s="3" t="s">
        <v>36</v>
      </c>
      <c r="G34" s="3" t="s">
        <v>5</v>
      </c>
      <c r="H34" s="3">
        <v>70</v>
      </c>
      <c r="I34" s="32">
        <f t="shared" si="0"/>
        <v>0.55000000000000004</v>
      </c>
      <c r="J34" s="33">
        <v>0.45</v>
      </c>
      <c r="K34" s="33">
        <f t="shared" si="1"/>
        <v>0.91749999999999998</v>
      </c>
      <c r="L34" s="36">
        <v>0.02</v>
      </c>
      <c r="M34" s="36">
        <v>6.25E-2</v>
      </c>
      <c r="N34" s="34" t="s">
        <v>6</v>
      </c>
      <c r="O34" s="69"/>
      <c r="P34" s="69"/>
      <c r="Q34" s="8">
        <f t="shared" si="2"/>
        <v>24.772499999999997</v>
      </c>
      <c r="R34" s="8">
        <f t="shared" si="3"/>
        <v>0.53999999999999992</v>
      </c>
      <c r="S34" s="8">
        <f t="shared" si="4"/>
        <v>1.6874999999999998</v>
      </c>
    </row>
    <row r="35" spans="1:19" x14ac:dyDescent="0.25">
      <c r="A35" s="26" t="s">
        <v>46</v>
      </c>
      <c r="B35" s="3">
        <v>5050</v>
      </c>
      <c r="C35" s="1" t="s">
        <v>14</v>
      </c>
      <c r="D35" s="3" t="s">
        <v>15</v>
      </c>
      <c r="E35" s="3" t="s">
        <v>33</v>
      </c>
      <c r="F35" s="3" t="s">
        <v>34</v>
      </c>
      <c r="G35" s="3" t="s">
        <v>8</v>
      </c>
      <c r="H35" s="3">
        <v>70</v>
      </c>
      <c r="I35" s="32">
        <f t="shared" si="0"/>
        <v>0.625</v>
      </c>
      <c r="J35" s="33">
        <v>0.375</v>
      </c>
      <c r="K35" s="33">
        <f t="shared" si="1"/>
        <v>0.64399999999999991</v>
      </c>
      <c r="L35" s="36">
        <v>0.3</v>
      </c>
      <c r="M35" s="36">
        <v>5.6000000000000001E-2</v>
      </c>
      <c r="N35" s="34" t="s">
        <v>24</v>
      </c>
      <c r="O35" s="69"/>
      <c r="P35" s="69"/>
      <c r="Q35" s="8">
        <f t="shared" si="2"/>
        <v>12.751199999999995</v>
      </c>
      <c r="R35" s="8">
        <f t="shared" si="3"/>
        <v>5.9399999999999986</v>
      </c>
      <c r="S35" s="8">
        <f t="shared" si="4"/>
        <v>1.1087999999999998</v>
      </c>
    </row>
    <row r="36" spans="1:19" x14ac:dyDescent="0.25">
      <c r="A36" s="26" t="s">
        <v>47</v>
      </c>
      <c r="B36" s="3">
        <v>5050</v>
      </c>
      <c r="C36" s="1" t="s">
        <v>14</v>
      </c>
      <c r="D36" s="3" t="s">
        <v>15</v>
      </c>
      <c r="E36" s="3" t="s">
        <v>33</v>
      </c>
      <c r="F36" s="3" t="s">
        <v>36</v>
      </c>
      <c r="G36" s="3" t="s">
        <v>8</v>
      </c>
      <c r="H36" s="3">
        <v>70</v>
      </c>
      <c r="I36" s="32">
        <f t="shared" si="0"/>
        <v>0.64</v>
      </c>
      <c r="J36" s="33">
        <v>0.36</v>
      </c>
      <c r="K36" s="33">
        <f t="shared" si="1"/>
        <v>0.6429999999999999</v>
      </c>
      <c r="L36" s="36">
        <v>0.3</v>
      </c>
      <c r="M36" s="36">
        <v>5.7000000000000002E-2</v>
      </c>
      <c r="N36" s="34" t="s">
        <v>24</v>
      </c>
      <c r="O36" s="69"/>
      <c r="P36" s="69"/>
      <c r="Q36" s="8">
        <f t="shared" si="2"/>
        <v>11.935687499999998</v>
      </c>
      <c r="R36" s="8">
        <f t="shared" si="3"/>
        <v>5.5687499999999996</v>
      </c>
      <c r="S36" s="8">
        <f t="shared" si="4"/>
        <v>1.0580625000000001</v>
      </c>
    </row>
    <row r="37" spans="1:19" x14ac:dyDescent="0.25">
      <c r="A37" s="26" t="s">
        <v>50</v>
      </c>
      <c r="B37" s="3">
        <v>5050</v>
      </c>
      <c r="C37" s="26" t="s">
        <v>1</v>
      </c>
      <c r="D37" s="3" t="s">
        <v>15</v>
      </c>
      <c r="E37" s="3" t="s">
        <v>51</v>
      </c>
      <c r="F37" s="3" t="s">
        <v>52</v>
      </c>
      <c r="G37" s="3" t="s">
        <v>10</v>
      </c>
      <c r="H37" s="3">
        <v>70</v>
      </c>
      <c r="I37" s="32">
        <f t="shared" si="0"/>
        <v>0.76</v>
      </c>
      <c r="J37" s="33">
        <v>0.24</v>
      </c>
      <c r="K37" s="33">
        <f t="shared" si="1"/>
        <v>0.5595</v>
      </c>
      <c r="L37" s="36">
        <v>0.4</v>
      </c>
      <c r="M37" s="36">
        <v>4.0500000000000001E-2</v>
      </c>
      <c r="N37" s="34" t="s">
        <v>24</v>
      </c>
      <c r="O37" s="69"/>
      <c r="P37" s="69"/>
      <c r="Q37" s="8">
        <f t="shared" si="2"/>
        <v>5.8305789473684211</v>
      </c>
      <c r="R37" s="8">
        <f t="shared" si="3"/>
        <v>4.1684210526315786</v>
      </c>
      <c r="S37" s="8">
        <f t="shared" si="4"/>
        <v>0.42205263157894735</v>
      </c>
    </row>
    <row r="38" spans="1:19" x14ac:dyDescent="0.25">
      <c r="A38" s="26" t="s">
        <v>48</v>
      </c>
      <c r="B38" s="2">
        <v>5050</v>
      </c>
      <c r="C38" s="26" t="s">
        <v>14</v>
      </c>
      <c r="D38" s="2" t="s">
        <v>15</v>
      </c>
      <c r="E38" s="2" t="s">
        <v>33</v>
      </c>
      <c r="F38" s="2" t="s">
        <v>34</v>
      </c>
      <c r="G38" s="2" t="s">
        <v>10</v>
      </c>
      <c r="H38" s="3">
        <v>70</v>
      </c>
      <c r="I38" s="4">
        <f>100%-J38</f>
        <v>0.69</v>
      </c>
      <c r="J38" s="9">
        <v>0.31</v>
      </c>
      <c r="K38" s="5">
        <f>100%-L38-M38</f>
        <v>0.61499999999999999</v>
      </c>
      <c r="L38" s="24">
        <v>0.35</v>
      </c>
      <c r="M38" s="24">
        <v>3.5000000000000003E-2</v>
      </c>
      <c r="N38" s="6" t="s">
        <v>24</v>
      </c>
      <c r="O38" s="69"/>
      <c r="P38" s="69"/>
      <c r="Q38" s="8">
        <f t="shared" si="2"/>
        <v>9.1180434782608693</v>
      </c>
      <c r="R38" s="8">
        <f t="shared" si="3"/>
        <v>5.1891304347826086</v>
      </c>
      <c r="S38" s="8">
        <f t="shared" si="4"/>
        <v>0.51891304347826095</v>
      </c>
    </row>
    <row r="39" spans="1:19" x14ac:dyDescent="0.25">
      <c r="A39" s="26" t="s">
        <v>49</v>
      </c>
      <c r="B39" s="2">
        <v>5050</v>
      </c>
      <c r="C39" s="26" t="s">
        <v>14</v>
      </c>
      <c r="D39" s="2" t="s">
        <v>15</v>
      </c>
      <c r="E39" s="2" t="s">
        <v>33</v>
      </c>
      <c r="F39" s="2" t="s">
        <v>36</v>
      </c>
      <c r="G39" s="2" t="s">
        <v>10</v>
      </c>
      <c r="H39" s="3">
        <v>70</v>
      </c>
      <c r="I39" s="4">
        <f t="shared" si="0"/>
        <v>0.72</v>
      </c>
      <c r="J39" s="9">
        <v>0.28000000000000003</v>
      </c>
      <c r="K39" s="5">
        <f t="shared" si="1"/>
        <v>0.61</v>
      </c>
      <c r="L39" s="24">
        <v>0.35</v>
      </c>
      <c r="M39" s="24">
        <v>0.04</v>
      </c>
      <c r="N39" s="6" t="s">
        <v>266</v>
      </c>
      <c r="O39" s="69"/>
      <c r="P39" s="69"/>
      <c r="Q39" s="8">
        <f t="shared" si="2"/>
        <v>7.8283333333333349</v>
      </c>
      <c r="R39" s="8">
        <f t="shared" si="3"/>
        <v>4.4916666666666671</v>
      </c>
      <c r="S39" s="8">
        <f t="shared" si="4"/>
        <v>0.51333333333333342</v>
      </c>
    </row>
    <row r="40" spans="1:19" x14ac:dyDescent="0.25">
      <c r="A40" s="26" t="s">
        <v>53</v>
      </c>
      <c r="B40" s="3">
        <v>5050</v>
      </c>
      <c r="C40" s="26" t="s">
        <v>14</v>
      </c>
      <c r="D40" s="3" t="s">
        <v>15</v>
      </c>
      <c r="E40" s="3" t="s">
        <v>54</v>
      </c>
      <c r="F40" s="3" t="s">
        <v>36</v>
      </c>
      <c r="G40" s="37" t="s">
        <v>12</v>
      </c>
      <c r="H40" s="3">
        <v>70</v>
      </c>
      <c r="I40" s="32">
        <f t="shared" si="0"/>
        <v>0.74</v>
      </c>
      <c r="J40" s="33">
        <v>0.26</v>
      </c>
      <c r="K40" s="33">
        <f t="shared" si="1"/>
        <v>0.77700000000000002</v>
      </c>
      <c r="L40" s="36">
        <v>0.2</v>
      </c>
      <c r="M40" s="36">
        <v>2.3E-2</v>
      </c>
      <c r="N40" s="34" t="s">
        <v>44</v>
      </c>
      <c r="O40" s="69"/>
      <c r="P40" s="69"/>
      <c r="Q40" s="8">
        <f t="shared" si="2"/>
        <v>9.0090000000000003</v>
      </c>
      <c r="R40" s="8">
        <f t="shared" si="3"/>
        <v>2.3189189189189192</v>
      </c>
      <c r="S40" s="8">
        <f t="shared" si="4"/>
        <v>0.26667567567567568</v>
      </c>
    </row>
    <row r="41" spans="1:19" x14ac:dyDescent="0.25">
      <c r="A41" s="26" t="s">
        <v>55</v>
      </c>
      <c r="B41" s="3">
        <v>5050</v>
      </c>
      <c r="C41" s="26" t="s">
        <v>14</v>
      </c>
      <c r="D41" s="3" t="s">
        <v>15</v>
      </c>
      <c r="E41" s="3" t="s">
        <v>54</v>
      </c>
      <c r="F41" s="3" t="s">
        <v>34</v>
      </c>
      <c r="G41" s="37" t="s">
        <v>12</v>
      </c>
      <c r="H41" s="3">
        <v>70</v>
      </c>
      <c r="I41" s="32">
        <f t="shared" si="0"/>
        <v>0.82000000000000006</v>
      </c>
      <c r="J41" s="33">
        <v>0.18</v>
      </c>
      <c r="K41" s="33">
        <f t="shared" si="1"/>
        <v>0.93299999999999994</v>
      </c>
      <c r="L41" s="36">
        <v>0.02</v>
      </c>
      <c r="M41" s="36">
        <v>4.7E-2</v>
      </c>
      <c r="N41" s="34" t="s">
        <v>6</v>
      </c>
      <c r="O41" s="69"/>
      <c r="P41" s="69"/>
      <c r="Q41" s="8">
        <f t="shared" si="2"/>
        <v>6.7585609756097549</v>
      </c>
      <c r="R41" s="8">
        <f t="shared" si="3"/>
        <v>0.14487804878048779</v>
      </c>
      <c r="S41" s="8">
        <f t="shared" si="4"/>
        <v>0.34046341463414631</v>
      </c>
    </row>
    <row r="42" spans="1:19" x14ac:dyDescent="0.25">
      <c r="A42" s="26" t="s">
        <v>303</v>
      </c>
      <c r="B42" s="3">
        <v>5050</v>
      </c>
      <c r="C42" s="1" t="s">
        <v>14</v>
      </c>
      <c r="D42" s="3" t="s">
        <v>15</v>
      </c>
      <c r="E42" s="3" t="s">
        <v>33</v>
      </c>
      <c r="F42" s="3" t="s">
        <v>34</v>
      </c>
      <c r="G42" s="3" t="s">
        <v>259</v>
      </c>
      <c r="H42" s="3">
        <v>70</v>
      </c>
      <c r="I42" s="32">
        <f t="shared" si="0"/>
        <v>0.83</v>
      </c>
      <c r="J42" s="33">
        <v>0.17</v>
      </c>
      <c r="K42" s="33">
        <f t="shared" si="1"/>
        <v>0.94774193548387098</v>
      </c>
      <c r="L42" s="36">
        <v>0.02</v>
      </c>
      <c r="M42" s="36">
        <v>3.2258064516129031E-2</v>
      </c>
      <c r="N42" s="34" t="s">
        <v>6</v>
      </c>
      <c r="O42" s="69"/>
      <c r="P42" s="69"/>
      <c r="Q42" s="8">
        <f t="shared" si="2"/>
        <v>6.4058219976680935</v>
      </c>
      <c r="R42" s="8">
        <f t="shared" si="3"/>
        <v>0.1351807228915663</v>
      </c>
      <c r="S42" s="8">
        <f t="shared" si="4"/>
        <v>0.2180334240186553</v>
      </c>
    </row>
    <row r="43" spans="1:19" x14ac:dyDescent="0.25">
      <c r="A43" s="26" t="s">
        <v>304</v>
      </c>
      <c r="B43" s="3">
        <v>5050</v>
      </c>
      <c r="C43" s="1" t="s">
        <v>14</v>
      </c>
      <c r="D43" s="3" t="s">
        <v>15</v>
      </c>
      <c r="E43" s="3" t="s">
        <v>33</v>
      </c>
      <c r="F43" s="3" t="s">
        <v>36</v>
      </c>
      <c r="G43" s="3" t="s">
        <v>259</v>
      </c>
      <c r="H43" s="3">
        <v>70</v>
      </c>
      <c r="I43" s="32">
        <f>100%-J43</f>
        <v>0.8</v>
      </c>
      <c r="J43" s="33">
        <v>0.2</v>
      </c>
      <c r="K43" s="33">
        <f t="shared" si="1"/>
        <v>0.93899999999999995</v>
      </c>
      <c r="L43" s="36">
        <v>0.02</v>
      </c>
      <c r="M43" s="36">
        <v>4.1000000000000002E-2</v>
      </c>
      <c r="N43" s="34" t="s">
        <v>6</v>
      </c>
      <c r="O43" s="69"/>
      <c r="P43" s="69"/>
      <c r="Q43" s="8">
        <f t="shared" si="2"/>
        <v>7.7467499999999996</v>
      </c>
      <c r="R43" s="8">
        <f t="shared" si="3"/>
        <v>0.16500000000000001</v>
      </c>
      <c r="S43" s="8">
        <f t="shared" si="4"/>
        <v>0.33825</v>
      </c>
    </row>
    <row r="44" spans="1:19" ht="15" customHeight="1" x14ac:dyDescent="0.25">
      <c r="A44" s="1" t="s">
        <v>305</v>
      </c>
      <c r="B44" s="2">
        <v>2835</v>
      </c>
      <c r="C44" s="1" t="s">
        <v>1</v>
      </c>
      <c r="D44" s="2" t="s">
        <v>306</v>
      </c>
      <c r="E44" s="2" t="s">
        <v>3</v>
      </c>
      <c r="F44" s="2" t="s">
        <v>4</v>
      </c>
      <c r="G44" s="2" t="s">
        <v>5</v>
      </c>
      <c r="H44" s="3">
        <v>80</v>
      </c>
      <c r="I44" s="4">
        <f t="shared" ref="I44:I73" si="5">100%-J44</f>
        <v>0.19999999999999996</v>
      </c>
      <c r="J44" s="5">
        <v>0.8</v>
      </c>
      <c r="K44" s="5">
        <f t="shared" si="1"/>
        <v>1</v>
      </c>
      <c r="L44" s="5">
        <v>0</v>
      </c>
      <c r="M44" s="5">
        <v>0</v>
      </c>
      <c r="N44" s="6" t="s">
        <v>24</v>
      </c>
      <c r="O44" s="69"/>
      <c r="P44" s="69"/>
      <c r="Q44" s="8">
        <f t="shared" si="2"/>
        <v>132.00000000000003</v>
      </c>
      <c r="R44" s="8">
        <f t="shared" si="3"/>
        <v>0</v>
      </c>
      <c r="S44" s="8">
        <f t="shared" si="4"/>
        <v>0</v>
      </c>
    </row>
    <row r="45" spans="1:19" ht="15" customHeight="1" x14ac:dyDescent="0.25">
      <c r="A45" s="1" t="s">
        <v>307</v>
      </c>
      <c r="B45" s="2">
        <v>2835</v>
      </c>
      <c r="C45" s="1" t="s">
        <v>1</v>
      </c>
      <c r="D45" s="2" t="s">
        <v>306</v>
      </c>
      <c r="E45" s="2" t="s">
        <v>3</v>
      </c>
      <c r="F45" s="2" t="s">
        <v>4</v>
      </c>
      <c r="G45" s="2" t="s">
        <v>8</v>
      </c>
      <c r="H45" s="3">
        <v>80</v>
      </c>
      <c r="I45" s="4">
        <f t="shared" si="5"/>
        <v>0.59000000000000008</v>
      </c>
      <c r="J45" s="5">
        <v>0.41</v>
      </c>
      <c r="K45" s="5">
        <f t="shared" si="1"/>
        <v>0.92449999999999999</v>
      </c>
      <c r="L45" s="5">
        <v>0.02</v>
      </c>
      <c r="M45" s="5">
        <v>5.5500000000000001E-2</v>
      </c>
      <c r="N45" s="6" t="s">
        <v>6</v>
      </c>
      <c r="O45" s="69"/>
      <c r="P45" s="69"/>
      <c r="Q45" s="8">
        <f t="shared" si="2"/>
        <v>21.200822033898298</v>
      </c>
      <c r="R45" s="8">
        <f t="shared" si="3"/>
        <v>0.45864406779661004</v>
      </c>
      <c r="S45" s="8">
        <f t="shared" si="4"/>
        <v>1.2727372881355929</v>
      </c>
    </row>
    <row r="46" spans="1:19" ht="15" customHeight="1" x14ac:dyDescent="0.25">
      <c r="A46" s="1" t="s">
        <v>308</v>
      </c>
      <c r="B46" s="2">
        <v>2835</v>
      </c>
      <c r="C46" s="1" t="s">
        <v>1</v>
      </c>
      <c r="D46" s="2" t="s">
        <v>306</v>
      </c>
      <c r="E46" s="2" t="s">
        <v>3</v>
      </c>
      <c r="F46" s="2" t="s">
        <v>4</v>
      </c>
      <c r="G46" s="2" t="s">
        <v>10</v>
      </c>
      <c r="H46" s="3">
        <v>80</v>
      </c>
      <c r="I46" s="4">
        <f t="shared" si="5"/>
        <v>0.42000000000000004</v>
      </c>
      <c r="J46" s="9">
        <v>0.57999999999999996</v>
      </c>
      <c r="K46" s="5">
        <f t="shared" si="1"/>
        <v>0.92420000000000002</v>
      </c>
      <c r="L46" s="9">
        <v>0</v>
      </c>
      <c r="M46" s="9">
        <v>7.5800000000000006E-2</v>
      </c>
      <c r="N46" s="6" t="s">
        <v>6</v>
      </c>
      <c r="O46" s="69"/>
      <c r="P46" s="69"/>
      <c r="Q46" s="8">
        <f t="shared" si="2"/>
        <v>42.117114285714287</v>
      </c>
      <c r="R46" s="8">
        <f t="shared" si="3"/>
        <v>0</v>
      </c>
      <c r="S46" s="8">
        <f t="shared" si="4"/>
        <v>3.4543142857142857</v>
      </c>
    </row>
    <row r="47" spans="1:19" ht="15" customHeight="1" x14ac:dyDescent="0.25">
      <c r="A47" s="10" t="s">
        <v>309</v>
      </c>
      <c r="B47" s="2">
        <v>2835</v>
      </c>
      <c r="C47" s="1" t="s">
        <v>1</v>
      </c>
      <c r="D47" s="2" t="s">
        <v>306</v>
      </c>
      <c r="E47" s="2" t="s">
        <v>3</v>
      </c>
      <c r="F47" s="2" t="s">
        <v>4</v>
      </c>
      <c r="G47" s="2" t="s">
        <v>12</v>
      </c>
      <c r="H47" s="3">
        <v>80</v>
      </c>
      <c r="I47" s="4">
        <f t="shared" si="5"/>
        <v>0.72</v>
      </c>
      <c r="J47" s="9">
        <v>0.28000000000000003</v>
      </c>
      <c r="K47" s="5">
        <f t="shared" si="1"/>
        <v>0.90799999999999992</v>
      </c>
      <c r="L47" s="9">
        <v>0.05</v>
      </c>
      <c r="M47" s="9">
        <v>4.2000000000000003E-2</v>
      </c>
      <c r="N47" s="6" t="s">
        <v>266</v>
      </c>
      <c r="O47" s="69"/>
      <c r="P47" s="69"/>
      <c r="Q47" s="8">
        <f t="shared" si="2"/>
        <v>11.652666666666669</v>
      </c>
      <c r="R47" s="8">
        <f t="shared" si="3"/>
        <v>0.64166666666666683</v>
      </c>
      <c r="S47" s="8">
        <f t="shared" si="4"/>
        <v>0.53900000000000015</v>
      </c>
    </row>
    <row r="48" spans="1:19" ht="15" customHeight="1" x14ac:dyDescent="0.25">
      <c r="A48" s="1" t="s">
        <v>310</v>
      </c>
      <c r="B48" s="3">
        <v>2835</v>
      </c>
      <c r="C48" s="1" t="s">
        <v>1</v>
      </c>
      <c r="D48" s="3" t="s">
        <v>306</v>
      </c>
      <c r="E48" s="3" t="s">
        <v>3</v>
      </c>
      <c r="F48" s="3" t="s">
        <v>4</v>
      </c>
      <c r="G48" s="3" t="s">
        <v>259</v>
      </c>
      <c r="H48" s="3">
        <v>80</v>
      </c>
      <c r="I48" s="32">
        <f t="shared" si="5"/>
        <v>0.74</v>
      </c>
      <c r="J48" s="33">
        <v>0.26</v>
      </c>
      <c r="K48" s="33">
        <f t="shared" si="1"/>
        <v>0.91849999999999998</v>
      </c>
      <c r="L48" s="33">
        <v>0.05</v>
      </c>
      <c r="M48" s="33">
        <v>3.15E-2</v>
      </c>
      <c r="N48" s="34" t="s">
        <v>24</v>
      </c>
      <c r="O48" s="69"/>
      <c r="P48" s="69"/>
      <c r="Q48" s="8">
        <f t="shared" si="2"/>
        <v>10.649635135135135</v>
      </c>
      <c r="R48" s="8">
        <f t="shared" si="3"/>
        <v>0.5797297297297298</v>
      </c>
      <c r="S48" s="8">
        <f t="shared" si="4"/>
        <v>0.36522972972972972</v>
      </c>
    </row>
    <row r="49" spans="1:19" ht="15" customHeight="1" x14ac:dyDescent="0.25">
      <c r="A49" s="1" t="s">
        <v>60</v>
      </c>
      <c r="B49" s="1">
        <v>3030</v>
      </c>
      <c r="C49" s="1" t="s">
        <v>14</v>
      </c>
      <c r="D49" s="1" t="s">
        <v>15</v>
      </c>
      <c r="E49" s="1" t="s">
        <v>3</v>
      </c>
      <c r="F49" s="1" t="s">
        <v>4</v>
      </c>
      <c r="G49" s="1" t="s">
        <v>5</v>
      </c>
      <c r="H49" s="3">
        <v>80</v>
      </c>
      <c r="I49" s="11">
        <f t="shared" si="5"/>
        <v>0.63</v>
      </c>
      <c r="J49" s="12">
        <v>0.37</v>
      </c>
      <c r="K49" s="12">
        <f t="shared" si="1"/>
        <v>0.89304347826086961</v>
      </c>
      <c r="L49" s="13">
        <v>0.02</v>
      </c>
      <c r="M49" s="13">
        <v>8.6956521739130432E-2</v>
      </c>
      <c r="N49" s="6" t="s">
        <v>6</v>
      </c>
      <c r="O49" s="69"/>
      <c r="P49" s="69"/>
      <c r="Q49" s="8">
        <f t="shared" si="2"/>
        <v>17.308033126293996</v>
      </c>
      <c r="R49" s="8">
        <f t="shared" si="3"/>
        <v>0.38761904761904759</v>
      </c>
      <c r="S49" s="8">
        <f t="shared" si="4"/>
        <v>1.6853002070393373</v>
      </c>
    </row>
    <row r="50" spans="1:19" s="55" customFormat="1" ht="15" customHeight="1" x14ac:dyDescent="0.25">
      <c r="A50" s="1" t="s">
        <v>61</v>
      </c>
      <c r="B50" s="14">
        <v>3030</v>
      </c>
      <c r="C50" s="1" t="s">
        <v>14</v>
      </c>
      <c r="D50" s="14" t="s">
        <v>15</v>
      </c>
      <c r="E50" s="14" t="s">
        <v>3</v>
      </c>
      <c r="F50" s="14" t="s">
        <v>4</v>
      </c>
      <c r="G50" s="14" t="s">
        <v>8</v>
      </c>
      <c r="H50" s="3">
        <v>80</v>
      </c>
      <c r="I50" s="15">
        <f>100%-J50</f>
        <v>0.52500000000000002</v>
      </c>
      <c r="J50" s="16">
        <v>0.47499999999999998</v>
      </c>
      <c r="K50" s="16">
        <f t="shared" si="1"/>
        <v>0.54149999999999998</v>
      </c>
      <c r="L50" s="17">
        <v>0.4</v>
      </c>
      <c r="M50" s="17">
        <v>5.8500000000000003E-2</v>
      </c>
      <c r="N50" s="18" t="s">
        <v>266</v>
      </c>
      <c r="O50" s="69"/>
      <c r="P50" s="69"/>
      <c r="Q50" s="8">
        <f t="shared" si="2"/>
        <v>16.167642857142855</v>
      </c>
      <c r="R50" s="8">
        <f t="shared" si="3"/>
        <v>11.942857142857143</v>
      </c>
      <c r="S50" s="8">
        <f t="shared" si="4"/>
        <v>1.7466428571428572</v>
      </c>
    </row>
    <row r="51" spans="1:19" ht="15" customHeight="1" x14ac:dyDescent="0.25">
      <c r="A51" s="1" t="s">
        <v>62</v>
      </c>
      <c r="B51" s="19">
        <v>3030</v>
      </c>
      <c r="C51" s="1" t="s">
        <v>14</v>
      </c>
      <c r="D51" s="19" t="s">
        <v>15</v>
      </c>
      <c r="E51" s="19" t="s">
        <v>3</v>
      </c>
      <c r="F51" s="19" t="s">
        <v>4</v>
      </c>
      <c r="G51" s="19" t="s">
        <v>10</v>
      </c>
      <c r="H51" s="3">
        <v>80</v>
      </c>
      <c r="I51" s="20">
        <f t="shared" si="5"/>
        <v>0.6</v>
      </c>
      <c r="J51" s="16">
        <v>0.4</v>
      </c>
      <c r="K51" s="21">
        <f t="shared" si="1"/>
        <v>0.55799999999999994</v>
      </c>
      <c r="L51" s="22">
        <v>0.4</v>
      </c>
      <c r="M51" s="22">
        <v>4.2000000000000003E-2</v>
      </c>
      <c r="N51" s="18" t="s">
        <v>6</v>
      </c>
      <c r="O51" s="69"/>
      <c r="P51" s="69"/>
      <c r="Q51" s="8">
        <f t="shared" si="2"/>
        <v>12.275999999999998</v>
      </c>
      <c r="R51" s="8">
        <f t="shared" si="3"/>
        <v>8.8000000000000007</v>
      </c>
      <c r="S51" s="8">
        <f t="shared" si="4"/>
        <v>0.92400000000000004</v>
      </c>
    </row>
    <row r="52" spans="1:19" ht="15" customHeight="1" x14ac:dyDescent="0.25">
      <c r="A52" s="1" t="s">
        <v>63</v>
      </c>
      <c r="B52" s="2">
        <v>3030</v>
      </c>
      <c r="C52" s="1" t="s">
        <v>14</v>
      </c>
      <c r="D52" s="2" t="s">
        <v>15</v>
      </c>
      <c r="E52" s="2" t="s">
        <v>3</v>
      </c>
      <c r="F52" s="2" t="s">
        <v>4</v>
      </c>
      <c r="G52" s="23" t="s">
        <v>12</v>
      </c>
      <c r="H52" s="3">
        <v>80</v>
      </c>
      <c r="I52" s="4">
        <f t="shared" si="5"/>
        <v>0.67300000000000004</v>
      </c>
      <c r="J52" s="9">
        <v>0.32700000000000001</v>
      </c>
      <c r="K52" s="5">
        <f t="shared" si="1"/>
        <v>0.56499999999999995</v>
      </c>
      <c r="L52" s="24">
        <v>0.4</v>
      </c>
      <c r="M52" s="24">
        <v>3.5000000000000003E-2</v>
      </c>
      <c r="N52" s="6" t="s">
        <v>6</v>
      </c>
      <c r="O52" s="69"/>
      <c r="P52" s="69"/>
      <c r="Q52" s="8">
        <f t="shared" si="2"/>
        <v>9.059309063893016</v>
      </c>
      <c r="R52" s="8">
        <f t="shared" si="3"/>
        <v>6.4136701337295694</v>
      </c>
      <c r="S52" s="8">
        <f t="shared" si="4"/>
        <v>0.56119613670133739</v>
      </c>
    </row>
    <row r="53" spans="1:19" ht="15" customHeight="1" x14ac:dyDescent="0.25">
      <c r="A53" s="1" t="s">
        <v>311</v>
      </c>
      <c r="B53" s="3">
        <v>3030</v>
      </c>
      <c r="C53" s="1" t="s">
        <v>14</v>
      </c>
      <c r="D53" s="3" t="s">
        <v>15</v>
      </c>
      <c r="E53" s="3" t="s">
        <v>3</v>
      </c>
      <c r="F53" s="3" t="s">
        <v>4</v>
      </c>
      <c r="G53" s="3" t="s">
        <v>259</v>
      </c>
      <c r="H53" s="3">
        <v>80</v>
      </c>
      <c r="I53" s="32">
        <f t="shared" si="5"/>
        <v>0.8</v>
      </c>
      <c r="J53" s="33">
        <v>0.2</v>
      </c>
      <c r="K53" s="33">
        <f t="shared" si="1"/>
        <v>0.95014925373134329</v>
      </c>
      <c r="L53" s="36">
        <v>0.02</v>
      </c>
      <c r="M53" s="36">
        <v>2.9850746268656716E-2</v>
      </c>
      <c r="N53" s="34" t="s">
        <v>6</v>
      </c>
      <c r="O53" s="69"/>
      <c r="P53" s="69"/>
      <c r="Q53" s="8">
        <f t="shared" si="2"/>
        <v>7.8387313432835821</v>
      </c>
      <c r="R53" s="8">
        <f t="shared" si="3"/>
        <v>0.16500000000000001</v>
      </c>
      <c r="S53" s="8">
        <f t="shared" si="4"/>
        <v>0.2462686567164179</v>
      </c>
    </row>
    <row r="54" spans="1:19" ht="15" customHeight="1" x14ac:dyDescent="0.25">
      <c r="A54" s="1" t="s">
        <v>64</v>
      </c>
      <c r="B54" s="19">
        <v>3030</v>
      </c>
      <c r="C54" s="1" t="s">
        <v>14</v>
      </c>
      <c r="D54" s="19" t="s">
        <v>15</v>
      </c>
      <c r="E54" s="19" t="s">
        <v>20</v>
      </c>
      <c r="F54" s="19" t="s">
        <v>21</v>
      </c>
      <c r="G54" s="19" t="s">
        <v>5</v>
      </c>
      <c r="H54" s="3">
        <v>80</v>
      </c>
      <c r="I54" s="20">
        <f t="shared" si="5"/>
        <v>0.51</v>
      </c>
      <c r="J54" s="21">
        <v>0.49</v>
      </c>
      <c r="K54" s="21">
        <f t="shared" si="1"/>
        <v>0.90999999999999992</v>
      </c>
      <c r="L54" s="25">
        <v>0.02</v>
      </c>
      <c r="M54" s="25">
        <v>7.0000000000000007E-2</v>
      </c>
      <c r="N54" s="18" t="s">
        <v>266</v>
      </c>
      <c r="O54" s="69"/>
      <c r="P54" s="69"/>
      <c r="Q54" s="8">
        <f t="shared" si="2"/>
        <v>28.852352941176466</v>
      </c>
      <c r="R54" s="8">
        <f t="shared" si="3"/>
        <v>0.63411764705882345</v>
      </c>
      <c r="S54" s="8">
        <f t="shared" si="4"/>
        <v>2.2194117647058822</v>
      </c>
    </row>
    <row r="55" spans="1:19" ht="15" customHeight="1" x14ac:dyDescent="0.25">
      <c r="A55" s="1" t="s">
        <v>65</v>
      </c>
      <c r="B55" s="2">
        <v>3030</v>
      </c>
      <c r="C55" s="1" t="s">
        <v>14</v>
      </c>
      <c r="D55" s="2" t="s">
        <v>15</v>
      </c>
      <c r="E55" s="2" t="s">
        <v>20</v>
      </c>
      <c r="F55" s="2" t="s">
        <v>21</v>
      </c>
      <c r="G55" s="2" t="s">
        <v>8</v>
      </c>
      <c r="H55" s="3">
        <v>80</v>
      </c>
      <c r="I55" s="4">
        <f t="shared" si="5"/>
        <v>0.61</v>
      </c>
      <c r="J55" s="5">
        <v>0.39</v>
      </c>
      <c r="K55" s="5">
        <f t="shared" si="1"/>
        <v>0.50700000000000012</v>
      </c>
      <c r="L55" s="5">
        <v>0.43</v>
      </c>
      <c r="M55" s="5">
        <v>6.3E-2</v>
      </c>
      <c r="N55" s="6" t="s">
        <v>24</v>
      </c>
      <c r="O55" s="69"/>
      <c r="P55" s="69"/>
      <c r="Q55" s="8">
        <f t="shared" si="2"/>
        <v>10.696868852459019</v>
      </c>
      <c r="R55" s="8">
        <f t="shared" si="3"/>
        <v>9.0722950819672139</v>
      </c>
      <c r="S55" s="8">
        <f t="shared" si="4"/>
        <v>1.3291967213114755</v>
      </c>
    </row>
    <row r="56" spans="1:19" ht="15" customHeight="1" x14ac:dyDescent="0.25">
      <c r="A56" s="1" t="s">
        <v>66</v>
      </c>
      <c r="B56" s="19">
        <v>3030</v>
      </c>
      <c r="C56" s="1" t="s">
        <v>14</v>
      </c>
      <c r="D56" s="19" t="s">
        <v>15</v>
      </c>
      <c r="E56" s="19" t="s">
        <v>20</v>
      </c>
      <c r="F56" s="19" t="s">
        <v>21</v>
      </c>
      <c r="G56" s="19" t="s">
        <v>10</v>
      </c>
      <c r="H56" s="3">
        <v>80</v>
      </c>
      <c r="I56" s="20">
        <f t="shared" si="5"/>
        <v>0.63500000000000001</v>
      </c>
      <c r="J56" s="16">
        <v>0.36499999999999999</v>
      </c>
      <c r="K56" s="21">
        <f t="shared" si="1"/>
        <v>0.51999999999999991</v>
      </c>
      <c r="L56" s="22">
        <v>0.43099999999999999</v>
      </c>
      <c r="M56" s="22">
        <v>4.9000000000000002E-2</v>
      </c>
      <c r="N56" s="18" t="s">
        <v>24</v>
      </c>
      <c r="O56" s="69"/>
      <c r="P56" s="69"/>
      <c r="Q56" s="8">
        <f t="shared" si="2"/>
        <v>9.8636220472440925</v>
      </c>
      <c r="R56" s="8">
        <f t="shared" si="3"/>
        <v>8.1754251968503944</v>
      </c>
      <c r="S56" s="8">
        <f t="shared" si="4"/>
        <v>0.92945669291338584</v>
      </c>
    </row>
    <row r="57" spans="1:19" ht="15" customHeight="1" x14ac:dyDescent="0.25">
      <c r="A57" s="1" t="s">
        <v>67</v>
      </c>
      <c r="B57" s="19">
        <v>3030</v>
      </c>
      <c r="C57" s="1" t="s">
        <v>14</v>
      </c>
      <c r="D57" s="19" t="s">
        <v>15</v>
      </c>
      <c r="E57" s="19" t="s">
        <v>20</v>
      </c>
      <c r="F57" s="19" t="s">
        <v>21</v>
      </c>
      <c r="G57" s="19" t="s">
        <v>12</v>
      </c>
      <c r="H57" s="3">
        <v>80</v>
      </c>
      <c r="I57" s="20">
        <f t="shared" si="5"/>
        <v>0.68500000000000005</v>
      </c>
      <c r="J57" s="21">
        <v>0.315</v>
      </c>
      <c r="K57" s="21">
        <f t="shared" si="1"/>
        <v>0.55999999999999994</v>
      </c>
      <c r="L57" s="21">
        <v>0.4</v>
      </c>
      <c r="M57" s="21">
        <v>0.04</v>
      </c>
      <c r="N57" s="18" t="s">
        <v>24</v>
      </c>
      <c r="O57" s="69"/>
      <c r="P57" s="69"/>
      <c r="Q57" s="8">
        <f t="shared" si="2"/>
        <v>8.4981021897810205</v>
      </c>
      <c r="R57" s="8">
        <f t="shared" si="3"/>
        <v>6.0700729927007302</v>
      </c>
      <c r="S57" s="8">
        <f t="shared" si="4"/>
        <v>0.60700729927007291</v>
      </c>
    </row>
    <row r="58" spans="1:19" ht="15" customHeight="1" x14ac:dyDescent="0.25">
      <c r="A58" s="1" t="s">
        <v>312</v>
      </c>
      <c r="B58" s="3">
        <v>3030</v>
      </c>
      <c r="C58" s="1" t="s">
        <v>14</v>
      </c>
      <c r="D58" s="3" t="s">
        <v>15</v>
      </c>
      <c r="E58" s="3" t="s">
        <v>20</v>
      </c>
      <c r="F58" s="3" t="s">
        <v>21</v>
      </c>
      <c r="G58" s="3" t="s">
        <v>259</v>
      </c>
      <c r="H58" s="3">
        <v>80</v>
      </c>
      <c r="I58" s="32">
        <f t="shared" si="5"/>
        <v>0.74299999999999999</v>
      </c>
      <c r="J58" s="33">
        <v>0.25700000000000001</v>
      </c>
      <c r="K58" s="33">
        <f t="shared" si="1"/>
        <v>0.52</v>
      </c>
      <c r="L58" s="33">
        <v>0.45</v>
      </c>
      <c r="M58" s="33">
        <v>0.03</v>
      </c>
      <c r="N58" s="34" t="s">
        <v>6</v>
      </c>
      <c r="O58" s="69"/>
      <c r="P58" s="69"/>
      <c r="Q58" s="8">
        <f t="shared" si="2"/>
        <v>5.9355585464333789</v>
      </c>
      <c r="R58" s="8">
        <f t="shared" si="3"/>
        <v>5.1365410497981161</v>
      </c>
      <c r="S58" s="8">
        <f t="shared" si="4"/>
        <v>0.34243606998654108</v>
      </c>
    </row>
    <row r="59" spans="1:19" x14ac:dyDescent="0.25">
      <c r="A59" s="26" t="s">
        <v>68</v>
      </c>
      <c r="B59" s="1">
        <v>5050</v>
      </c>
      <c r="C59" s="1" t="s">
        <v>14</v>
      </c>
      <c r="D59" s="1" t="s">
        <v>15</v>
      </c>
      <c r="E59" s="1" t="s">
        <v>27</v>
      </c>
      <c r="F59" s="1" t="s">
        <v>28</v>
      </c>
      <c r="G59" s="1" t="s">
        <v>5</v>
      </c>
      <c r="H59" s="3">
        <v>80</v>
      </c>
      <c r="I59" s="11">
        <f t="shared" si="5"/>
        <v>0.53499999999999992</v>
      </c>
      <c r="J59" s="12">
        <v>0.46500000000000002</v>
      </c>
      <c r="K59" s="12">
        <f t="shared" si="1"/>
        <v>0.90749999999999997</v>
      </c>
      <c r="L59" s="13">
        <v>0.02</v>
      </c>
      <c r="M59" s="13">
        <v>7.2499999999999995E-2</v>
      </c>
      <c r="N59" s="6" t="s">
        <v>6</v>
      </c>
      <c r="O59" s="69"/>
      <c r="P59" s="69"/>
      <c r="Q59" s="8">
        <f t="shared" si="2"/>
        <v>26.029135514018698</v>
      </c>
      <c r="R59" s="8">
        <f t="shared" si="3"/>
        <v>0.57364485981308433</v>
      </c>
      <c r="S59" s="8">
        <f t="shared" si="4"/>
        <v>2.0794626168224304</v>
      </c>
    </row>
    <row r="60" spans="1:19" x14ac:dyDescent="0.25">
      <c r="A60" s="26" t="s">
        <v>313</v>
      </c>
      <c r="B60" s="1">
        <v>5050</v>
      </c>
      <c r="C60" s="1" t="s">
        <v>14</v>
      </c>
      <c r="D60" s="1" t="s">
        <v>15</v>
      </c>
      <c r="E60" s="1" t="s">
        <v>27</v>
      </c>
      <c r="F60" s="1" t="s">
        <v>28</v>
      </c>
      <c r="G60" s="1" t="s">
        <v>8</v>
      </c>
      <c r="H60" s="3">
        <v>80</v>
      </c>
      <c r="I60" s="11">
        <f>100%-J60</f>
        <v>0.68599999999999994</v>
      </c>
      <c r="J60" s="12">
        <v>0.314</v>
      </c>
      <c r="K60" s="12">
        <f t="shared" si="1"/>
        <v>0.90700000000000003</v>
      </c>
      <c r="L60" s="13">
        <v>0.02</v>
      </c>
      <c r="M60" s="13">
        <v>7.2999999999999995E-2</v>
      </c>
      <c r="N60" s="6" t="s">
        <v>6</v>
      </c>
      <c r="O60" s="69"/>
      <c r="P60" s="69"/>
      <c r="Q60" s="8">
        <f t="shared" si="2"/>
        <v>13.70019533527697</v>
      </c>
      <c r="R60" s="8">
        <f t="shared" si="3"/>
        <v>0.30209912536443151</v>
      </c>
      <c r="S60" s="8">
        <f t="shared" si="4"/>
        <v>1.1026618075801751</v>
      </c>
    </row>
    <row r="61" spans="1:19" x14ac:dyDescent="0.25">
      <c r="A61" s="26" t="s">
        <v>70</v>
      </c>
      <c r="B61" s="2">
        <v>5050</v>
      </c>
      <c r="C61" s="26" t="s">
        <v>14</v>
      </c>
      <c r="D61" s="2" t="s">
        <v>15</v>
      </c>
      <c r="E61" s="2" t="s">
        <v>27</v>
      </c>
      <c r="F61" s="2" t="s">
        <v>28</v>
      </c>
      <c r="G61" s="2" t="s">
        <v>10</v>
      </c>
      <c r="H61" s="3">
        <v>80</v>
      </c>
      <c r="I61" s="4">
        <f t="shared" si="5"/>
        <v>0.63</v>
      </c>
      <c r="J61" s="9">
        <v>0.37</v>
      </c>
      <c r="K61" s="5">
        <f t="shared" si="1"/>
        <v>0.85299999999999998</v>
      </c>
      <c r="L61" s="24">
        <v>0.1</v>
      </c>
      <c r="M61" s="24">
        <v>4.7E-2</v>
      </c>
      <c r="N61" s="6" t="s">
        <v>266</v>
      </c>
      <c r="O61" s="69"/>
      <c r="P61" s="69"/>
      <c r="Q61" s="8">
        <f t="shared" si="2"/>
        <v>16.531952380952379</v>
      </c>
      <c r="R61" s="8">
        <f t="shared" si="3"/>
        <v>1.9380952380952381</v>
      </c>
      <c r="S61" s="8">
        <f t="shared" si="4"/>
        <v>0.91090476190476188</v>
      </c>
    </row>
    <row r="62" spans="1:19" x14ac:dyDescent="0.25">
      <c r="A62" s="26" t="s">
        <v>71</v>
      </c>
      <c r="B62" s="27">
        <v>5050</v>
      </c>
      <c r="C62" s="26" t="s">
        <v>14</v>
      </c>
      <c r="D62" s="27" t="s">
        <v>15</v>
      </c>
      <c r="E62" s="27" t="s">
        <v>27</v>
      </c>
      <c r="F62" s="27" t="s">
        <v>28</v>
      </c>
      <c r="G62" s="27" t="s">
        <v>12</v>
      </c>
      <c r="H62" s="3">
        <v>80</v>
      </c>
      <c r="I62" s="28">
        <f>100%-J62</f>
        <v>0.81600000000000006</v>
      </c>
      <c r="J62" s="29">
        <v>0.184</v>
      </c>
      <c r="K62" s="29">
        <f t="shared" si="1"/>
        <v>0.93499999999999994</v>
      </c>
      <c r="L62" s="30">
        <v>0.02</v>
      </c>
      <c r="M62" s="30">
        <v>4.4999999999999998E-2</v>
      </c>
      <c r="N62" s="31" t="s">
        <v>6</v>
      </c>
      <c r="O62" s="69"/>
      <c r="P62" s="69"/>
      <c r="Q62" s="8">
        <f t="shared" si="2"/>
        <v>6.9574999999999987</v>
      </c>
      <c r="R62" s="8">
        <f t="shared" si="3"/>
        <v>0.14882352941176469</v>
      </c>
      <c r="S62" s="8">
        <f t="shared" si="4"/>
        <v>0.33485294117647052</v>
      </c>
    </row>
    <row r="63" spans="1:19" x14ac:dyDescent="0.25">
      <c r="A63" s="26" t="s">
        <v>314</v>
      </c>
      <c r="B63" s="3">
        <v>5050</v>
      </c>
      <c r="C63" s="26" t="s">
        <v>14</v>
      </c>
      <c r="D63" s="3" t="s">
        <v>15</v>
      </c>
      <c r="E63" s="3" t="s">
        <v>27</v>
      </c>
      <c r="F63" s="3" t="s">
        <v>28</v>
      </c>
      <c r="G63" s="3" t="s">
        <v>259</v>
      </c>
      <c r="H63" s="3">
        <v>80</v>
      </c>
      <c r="I63" s="32">
        <f t="shared" si="5"/>
        <v>0.83</v>
      </c>
      <c r="J63" s="33">
        <v>0.17</v>
      </c>
      <c r="K63" s="33">
        <f t="shared" si="1"/>
        <v>0.94774193548387098</v>
      </c>
      <c r="L63" s="36">
        <v>0.02</v>
      </c>
      <c r="M63" s="36">
        <v>3.2258064516129031E-2</v>
      </c>
      <c r="N63" s="34" t="s">
        <v>6</v>
      </c>
      <c r="O63" s="69"/>
      <c r="P63" s="69"/>
      <c r="Q63" s="8">
        <f t="shared" si="2"/>
        <v>6.4058219976680935</v>
      </c>
      <c r="R63" s="8">
        <f t="shared" si="3"/>
        <v>0.1351807228915663</v>
      </c>
      <c r="S63" s="8">
        <f t="shared" si="4"/>
        <v>0.2180334240186553</v>
      </c>
    </row>
    <row r="64" spans="1:19" x14ac:dyDescent="0.25">
      <c r="A64" s="26" t="s">
        <v>72</v>
      </c>
      <c r="B64" s="3">
        <v>5050</v>
      </c>
      <c r="C64" s="26" t="s">
        <v>14</v>
      </c>
      <c r="D64" s="3" t="s">
        <v>15</v>
      </c>
      <c r="E64" s="3" t="s">
        <v>33</v>
      </c>
      <c r="F64" s="3" t="s">
        <v>34</v>
      </c>
      <c r="G64" s="3" t="s">
        <v>5</v>
      </c>
      <c r="H64" s="3">
        <v>80</v>
      </c>
      <c r="I64" s="32">
        <f t="shared" si="5"/>
        <v>0.55000000000000004</v>
      </c>
      <c r="J64" s="33">
        <v>0.45</v>
      </c>
      <c r="K64" s="33">
        <f t="shared" si="1"/>
        <v>0.91749999999999998</v>
      </c>
      <c r="L64" s="36">
        <v>0.02</v>
      </c>
      <c r="M64" s="36">
        <v>6.25E-2</v>
      </c>
      <c r="N64" s="34" t="s">
        <v>6</v>
      </c>
      <c r="O64" s="69"/>
      <c r="P64" s="69"/>
      <c r="Q64" s="8">
        <f t="shared" si="2"/>
        <v>24.772499999999997</v>
      </c>
      <c r="R64" s="8">
        <f t="shared" si="3"/>
        <v>0.53999999999999992</v>
      </c>
      <c r="S64" s="8">
        <f t="shared" si="4"/>
        <v>1.6874999999999998</v>
      </c>
    </row>
    <row r="65" spans="1:19" x14ac:dyDescent="0.25">
      <c r="A65" s="26" t="s">
        <v>73</v>
      </c>
      <c r="B65" s="3">
        <v>5050</v>
      </c>
      <c r="C65" s="26" t="s">
        <v>14</v>
      </c>
      <c r="D65" s="3" t="s">
        <v>15</v>
      </c>
      <c r="E65" s="3" t="s">
        <v>33</v>
      </c>
      <c r="F65" s="3" t="s">
        <v>36</v>
      </c>
      <c r="G65" s="3" t="s">
        <v>5</v>
      </c>
      <c r="H65" s="3">
        <v>80</v>
      </c>
      <c r="I65" s="32">
        <f t="shared" si="5"/>
        <v>0.56000000000000005</v>
      </c>
      <c r="J65" s="33">
        <v>0.44</v>
      </c>
      <c r="K65" s="33">
        <f t="shared" si="1"/>
        <v>4.4999999999999998E-2</v>
      </c>
      <c r="L65" s="36">
        <v>0.88</v>
      </c>
      <c r="M65" s="36">
        <v>7.4999999999999997E-2</v>
      </c>
      <c r="N65" s="34" t="s">
        <v>6</v>
      </c>
      <c r="O65" s="69"/>
      <c r="P65" s="69"/>
      <c r="Q65" s="8">
        <f t="shared" si="2"/>
        <v>1.1667857142857141</v>
      </c>
      <c r="R65" s="8">
        <f t="shared" si="3"/>
        <v>22.817142857142855</v>
      </c>
      <c r="S65" s="8">
        <f t="shared" si="4"/>
        <v>1.9446428571428569</v>
      </c>
    </row>
    <row r="66" spans="1:19" x14ac:dyDescent="0.25">
      <c r="A66" s="26" t="s">
        <v>75</v>
      </c>
      <c r="B66" s="3">
        <v>5050</v>
      </c>
      <c r="C66" s="1" t="s">
        <v>14</v>
      </c>
      <c r="D66" s="3" t="s">
        <v>15</v>
      </c>
      <c r="E66" s="3" t="s">
        <v>33</v>
      </c>
      <c r="F66" s="3" t="s">
        <v>34</v>
      </c>
      <c r="G66" s="3" t="s">
        <v>8</v>
      </c>
      <c r="H66" s="3">
        <v>80</v>
      </c>
      <c r="I66" s="32">
        <f t="shared" si="5"/>
        <v>0.6</v>
      </c>
      <c r="J66" s="33">
        <v>0.4</v>
      </c>
      <c r="K66" s="33">
        <f t="shared" si="1"/>
        <v>4.4999999999999984E-2</v>
      </c>
      <c r="L66" s="36">
        <v>0.88800000000000001</v>
      </c>
      <c r="M66" s="36">
        <v>6.7000000000000004E-2</v>
      </c>
      <c r="N66" s="34" t="s">
        <v>6</v>
      </c>
      <c r="O66" s="69"/>
      <c r="P66" s="69"/>
      <c r="Q66" s="8">
        <f t="shared" si="2"/>
        <v>0.98999999999999966</v>
      </c>
      <c r="R66" s="8">
        <f t="shared" si="3"/>
        <v>19.536000000000001</v>
      </c>
      <c r="S66" s="8">
        <f t="shared" si="4"/>
        <v>1.4740000000000002</v>
      </c>
    </row>
    <row r="67" spans="1:19" x14ac:dyDescent="0.25">
      <c r="A67" s="26" t="s">
        <v>76</v>
      </c>
      <c r="B67" s="3">
        <v>5050</v>
      </c>
      <c r="C67" s="1" t="s">
        <v>14</v>
      </c>
      <c r="D67" s="3" t="s">
        <v>15</v>
      </c>
      <c r="E67" s="3" t="s">
        <v>33</v>
      </c>
      <c r="F67" s="3" t="s">
        <v>36</v>
      </c>
      <c r="G67" s="3" t="s">
        <v>8</v>
      </c>
      <c r="H67" s="3">
        <v>80</v>
      </c>
      <c r="I67" s="32">
        <f t="shared" si="5"/>
        <v>0.58000000000000007</v>
      </c>
      <c r="J67" s="33">
        <v>0.42</v>
      </c>
      <c r="K67" s="33">
        <f t="shared" ref="K67:K69" si="6">100%-L67-M67</f>
        <v>4.500000000000004E-2</v>
      </c>
      <c r="L67" s="36">
        <v>0.89249999999999996</v>
      </c>
      <c r="M67" s="36">
        <v>6.25E-2</v>
      </c>
      <c r="N67" s="34" t="s">
        <v>6</v>
      </c>
      <c r="O67" s="69"/>
      <c r="P67" s="69"/>
      <c r="Q67" s="8">
        <f t="shared" si="2"/>
        <v>1.0753448275862076</v>
      </c>
      <c r="R67" s="8">
        <f t="shared" si="3"/>
        <v>21.327672413793099</v>
      </c>
      <c r="S67" s="8">
        <f t="shared" si="4"/>
        <v>1.4935344827586203</v>
      </c>
    </row>
    <row r="68" spans="1:19" x14ac:dyDescent="0.25">
      <c r="A68" s="26" t="s">
        <v>77</v>
      </c>
      <c r="B68" s="2">
        <v>5050</v>
      </c>
      <c r="C68" s="26" t="s">
        <v>14</v>
      </c>
      <c r="D68" s="2" t="s">
        <v>15</v>
      </c>
      <c r="E68" s="2" t="s">
        <v>33</v>
      </c>
      <c r="F68" s="2" t="s">
        <v>34</v>
      </c>
      <c r="G68" s="2" t="s">
        <v>10</v>
      </c>
      <c r="H68" s="3">
        <v>80</v>
      </c>
      <c r="I68" s="4">
        <f t="shared" si="5"/>
        <v>0.69</v>
      </c>
      <c r="J68" s="9">
        <v>0.31</v>
      </c>
      <c r="K68" s="5">
        <f t="shared" si="6"/>
        <v>5.0999999999999983E-2</v>
      </c>
      <c r="L68" s="24">
        <v>0.89500000000000002</v>
      </c>
      <c r="M68" s="24">
        <v>5.3999999999999999E-2</v>
      </c>
      <c r="N68" s="6" t="s">
        <v>6</v>
      </c>
      <c r="O68" s="69"/>
      <c r="P68" s="69"/>
      <c r="Q68" s="8">
        <f t="shared" ref="Q68:Q131" si="7">($O$3+$P$3)/I68*J68*K68</f>
        <v>0.75613043478260844</v>
      </c>
      <c r="R68" s="8">
        <f t="shared" ref="R68:R131" si="8">($O$3+$P$3)/I68*J68*L68</f>
        <v>13.269347826086957</v>
      </c>
      <c r="S68" s="8">
        <f t="shared" ref="S68:S131" si="9">($O$3+$P$3)/I68*J68*M68</f>
        <v>0.80060869565217396</v>
      </c>
    </row>
    <row r="69" spans="1:19" x14ac:dyDescent="0.25">
      <c r="A69" s="26" t="s">
        <v>78</v>
      </c>
      <c r="B69" s="2">
        <v>5050</v>
      </c>
      <c r="C69" s="26" t="s">
        <v>14</v>
      </c>
      <c r="D69" s="2" t="s">
        <v>15</v>
      </c>
      <c r="E69" s="2" t="s">
        <v>33</v>
      </c>
      <c r="F69" s="2" t="s">
        <v>36</v>
      </c>
      <c r="G69" s="2" t="s">
        <v>10</v>
      </c>
      <c r="H69" s="3">
        <v>80</v>
      </c>
      <c r="I69" s="4">
        <f t="shared" si="5"/>
        <v>0.71</v>
      </c>
      <c r="J69" s="9">
        <v>0.28999999999999998</v>
      </c>
      <c r="K69" s="5">
        <f t="shared" si="6"/>
        <v>0.66299999999999992</v>
      </c>
      <c r="L69" s="24">
        <v>0.3</v>
      </c>
      <c r="M69" s="24">
        <v>3.6999999999999998E-2</v>
      </c>
      <c r="N69" s="6" t="s">
        <v>6</v>
      </c>
      <c r="O69" s="69"/>
      <c r="P69" s="69"/>
      <c r="Q69" s="8">
        <f t="shared" si="7"/>
        <v>8.9364929577464771</v>
      </c>
      <c r="R69" s="8">
        <f t="shared" si="8"/>
        <v>4.0436619718309856</v>
      </c>
      <c r="S69" s="8">
        <f t="shared" si="9"/>
        <v>0.49871830985915494</v>
      </c>
    </row>
    <row r="70" spans="1:19" x14ac:dyDescent="0.25">
      <c r="A70" s="26" t="s">
        <v>79</v>
      </c>
      <c r="B70" s="3">
        <v>5050</v>
      </c>
      <c r="C70" s="26" t="s">
        <v>14</v>
      </c>
      <c r="D70" s="3" t="s">
        <v>15</v>
      </c>
      <c r="E70" s="3" t="s">
        <v>54</v>
      </c>
      <c r="F70" s="3" t="s">
        <v>36</v>
      </c>
      <c r="G70" s="37" t="s">
        <v>12</v>
      </c>
      <c r="H70" s="3">
        <v>80</v>
      </c>
      <c r="I70" s="32">
        <f t="shared" si="5"/>
        <v>0.745</v>
      </c>
      <c r="J70" s="33">
        <v>0.255</v>
      </c>
      <c r="K70" s="33">
        <v>5.0999999999999997E-2</v>
      </c>
      <c r="L70" s="36">
        <v>0.90249999999999997</v>
      </c>
      <c r="M70" s="36">
        <v>4.65E-2</v>
      </c>
      <c r="N70" s="34" t="s">
        <v>6</v>
      </c>
      <c r="O70" s="69"/>
      <c r="P70" s="69"/>
      <c r="Q70" s="8">
        <f t="shared" si="7"/>
        <v>0.57606040268456382</v>
      </c>
      <c r="R70" s="8">
        <f t="shared" si="8"/>
        <v>10.194010067114094</v>
      </c>
      <c r="S70" s="8">
        <f t="shared" si="9"/>
        <v>0.52523154362416113</v>
      </c>
    </row>
    <row r="71" spans="1:19" x14ac:dyDescent="0.25">
      <c r="A71" s="26" t="s">
        <v>80</v>
      </c>
      <c r="B71" s="3">
        <v>5050</v>
      </c>
      <c r="C71" s="26" t="s">
        <v>14</v>
      </c>
      <c r="D71" s="3" t="s">
        <v>15</v>
      </c>
      <c r="E71" s="3" t="s">
        <v>54</v>
      </c>
      <c r="F71" s="3" t="s">
        <v>34</v>
      </c>
      <c r="G71" s="37" t="s">
        <v>12</v>
      </c>
      <c r="H71" s="3">
        <v>80</v>
      </c>
      <c r="I71" s="32">
        <f t="shared" si="5"/>
        <v>0.82000000000000006</v>
      </c>
      <c r="J71" s="33">
        <v>0.18</v>
      </c>
      <c r="K71" s="33">
        <f t="shared" ref="K71:K134" si="10">100%-L71-M71</f>
        <v>0.93299999999999994</v>
      </c>
      <c r="L71" s="36">
        <v>0.02</v>
      </c>
      <c r="M71" s="36">
        <v>4.7E-2</v>
      </c>
      <c r="N71" s="34" t="s">
        <v>6</v>
      </c>
      <c r="O71" s="69"/>
      <c r="P71" s="69"/>
      <c r="Q71" s="8">
        <f t="shared" si="7"/>
        <v>6.7585609756097549</v>
      </c>
      <c r="R71" s="8">
        <f t="shared" si="8"/>
        <v>0.14487804878048779</v>
      </c>
      <c r="S71" s="8">
        <f t="shared" si="9"/>
        <v>0.34046341463414631</v>
      </c>
    </row>
    <row r="72" spans="1:19" x14ac:dyDescent="0.25">
      <c r="A72" s="26" t="s">
        <v>315</v>
      </c>
      <c r="B72" s="3">
        <v>5050</v>
      </c>
      <c r="C72" s="26" t="s">
        <v>14</v>
      </c>
      <c r="D72" s="3" t="s">
        <v>15</v>
      </c>
      <c r="E72" s="3" t="s">
        <v>33</v>
      </c>
      <c r="F72" s="3" t="s">
        <v>34</v>
      </c>
      <c r="G72" s="3" t="s">
        <v>259</v>
      </c>
      <c r="H72" s="3">
        <v>80</v>
      </c>
      <c r="I72" s="32">
        <f t="shared" si="5"/>
        <v>0.83</v>
      </c>
      <c r="J72" s="33">
        <v>0.17</v>
      </c>
      <c r="K72" s="33">
        <f t="shared" si="10"/>
        <v>0.94774193548387098</v>
      </c>
      <c r="L72" s="36">
        <v>0.02</v>
      </c>
      <c r="M72" s="36">
        <v>3.2258064516129031E-2</v>
      </c>
      <c r="N72" s="34" t="s">
        <v>6</v>
      </c>
      <c r="O72" s="69"/>
      <c r="P72" s="69"/>
      <c r="Q72" s="8">
        <f t="shared" si="7"/>
        <v>6.4058219976680935</v>
      </c>
      <c r="R72" s="8">
        <f t="shared" si="8"/>
        <v>0.1351807228915663</v>
      </c>
      <c r="S72" s="8">
        <f t="shared" si="9"/>
        <v>0.2180334240186553</v>
      </c>
    </row>
    <row r="73" spans="1:19" x14ac:dyDescent="0.25">
      <c r="A73" s="26" t="s">
        <v>316</v>
      </c>
      <c r="B73" s="3">
        <v>5050</v>
      </c>
      <c r="C73" s="26" t="s">
        <v>14</v>
      </c>
      <c r="D73" s="3" t="s">
        <v>15</v>
      </c>
      <c r="E73" s="3" t="s">
        <v>33</v>
      </c>
      <c r="F73" s="3" t="s">
        <v>36</v>
      </c>
      <c r="G73" s="3" t="s">
        <v>259</v>
      </c>
      <c r="H73" s="3">
        <v>80</v>
      </c>
      <c r="I73" s="32">
        <f t="shared" si="5"/>
        <v>0.79699999999999993</v>
      </c>
      <c r="J73" s="33">
        <v>0.20300000000000001</v>
      </c>
      <c r="K73" s="33">
        <f t="shared" si="10"/>
        <v>6.500000000000003E-2</v>
      </c>
      <c r="L73" s="36">
        <v>0.89649999999999996</v>
      </c>
      <c r="M73" s="36">
        <v>3.85E-2</v>
      </c>
      <c r="N73" s="34" t="s">
        <v>6</v>
      </c>
      <c r="O73" s="69"/>
      <c r="P73" s="69"/>
      <c r="Q73" s="8">
        <f t="shared" si="7"/>
        <v>0.54634253450439185</v>
      </c>
      <c r="R73" s="8">
        <f t="shared" si="8"/>
        <v>7.535324341279801</v>
      </c>
      <c r="S73" s="8">
        <f t="shared" si="9"/>
        <v>0.32360288582183194</v>
      </c>
    </row>
    <row r="74" spans="1:19" x14ac:dyDescent="0.25">
      <c r="A74" s="1" t="s">
        <v>317</v>
      </c>
      <c r="B74" s="2">
        <v>2835</v>
      </c>
      <c r="C74" s="1" t="s">
        <v>1</v>
      </c>
      <c r="D74" s="3" t="s">
        <v>82</v>
      </c>
      <c r="E74" s="2" t="s">
        <v>3</v>
      </c>
      <c r="F74" s="2" t="s">
        <v>4</v>
      </c>
      <c r="G74" s="2" t="s">
        <v>5</v>
      </c>
      <c r="H74" s="3">
        <v>70</v>
      </c>
      <c r="I74" s="4">
        <f>100%-J74</f>
        <v>0.55000000000000004</v>
      </c>
      <c r="J74" s="5">
        <v>0.45</v>
      </c>
      <c r="K74" s="5">
        <f t="shared" si="10"/>
        <v>0.9153</v>
      </c>
      <c r="L74" s="5">
        <v>0.02</v>
      </c>
      <c r="M74" s="5">
        <v>6.4699999999999994E-2</v>
      </c>
      <c r="N74" s="6" t="s">
        <v>6</v>
      </c>
      <c r="O74" s="69"/>
      <c r="P74" s="69"/>
      <c r="Q74" s="8">
        <f t="shared" si="7"/>
        <v>24.713099999999997</v>
      </c>
      <c r="R74" s="8">
        <f t="shared" si="8"/>
        <v>0.53999999999999992</v>
      </c>
      <c r="S74" s="8">
        <f t="shared" si="9"/>
        <v>1.7468999999999997</v>
      </c>
    </row>
    <row r="75" spans="1:19" x14ac:dyDescent="0.25">
      <c r="A75" s="1" t="s">
        <v>318</v>
      </c>
      <c r="B75" s="2">
        <v>2835</v>
      </c>
      <c r="C75" s="1" t="s">
        <v>1</v>
      </c>
      <c r="D75" s="3" t="s">
        <v>82</v>
      </c>
      <c r="E75" s="2" t="s">
        <v>3</v>
      </c>
      <c r="F75" s="2" t="s">
        <v>4</v>
      </c>
      <c r="G75" s="2" t="s">
        <v>8</v>
      </c>
      <c r="H75" s="3">
        <v>70</v>
      </c>
      <c r="I75" s="4">
        <f>100%-J75</f>
        <v>0.59000000000000008</v>
      </c>
      <c r="J75" s="5">
        <v>0.41</v>
      </c>
      <c r="K75" s="5">
        <f t="shared" si="10"/>
        <v>0.92449999999999999</v>
      </c>
      <c r="L75" s="5">
        <v>0.02</v>
      </c>
      <c r="M75" s="5">
        <v>5.5500000000000001E-2</v>
      </c>
      <c r="N75" s="6" t="s">
        <v>6</v>
      </c>
      <c r="O75" s="69"/>
      <c r="P75" s="69"/>
      <c r="Q75" s="8">
        <f t="shared" si="7"/>
        <v>21.200822033898298</v>
      </c>
      <c r="R75" s="8">
        <f t="shared" si="8"/>
        <v>0.45864406779661004</v>
      </c>
      <c r="S75" s="8">
        <f t="shared" si="9"/>
        <v>1.2727372881355929</v>
      </c>
    </row>
    <row r="76" spans="1:19" x14ac:dyDescent="0.25">
      <c r="A76" s="1" t="s">
        <v>319</v>
      </c>
      <c r="B76" s="2">
        <v>2835</v>
      </c>
      <c r="C76" s="1" t="s">
        <v>1</v>
      </c>
      <c r="D76" s="3" t="s">
        <v>82</v>
      </c>
      <c r="E76" s="2" t="s">
        <v>3</v>
      </c>
      <c r="F76" s="2" t="s">
        <v>4</v>
      </c>
      <c r="G76" s="2" t="s">
        <v>10</v>
      </c>
      <c r="H76" s="3">
        <v>70</v>
      </c>
      <c r="I76" s="4">
        <f t="shared" ref="I76:I78" si="11">100%-J76</f>
        <v>0.72499999999999998</v>
      </c>
      <c r="J76" s="9">
        <v>0.27500000000000002</v>
      </c>
      <c r="K76" s="5">
        <f t="shared" si="10"/>
        <v>0.93051951219512197</v>
      </c>
      <c r="L76" s="9">
        <v>0.02</v>
      </c>
      <c r="M76" s="9">
        <v>4.9480487804878001E-2</v>
      </c>
      <c r="N76" s="6" t="s">
        <v>6</v>
      </c>
      <c r="O76" s="69"/>
      <c r="P76" s="69"/>
      <c r="Q76" s="8">
        <f t="shared" si="7"/>
        <v>11.64753734230446</v>
      </c>
      <c r="R76" s="8">
        <f t="shared" si="8"/>
        <v>0.25034482758620696</v>
      </c>
      <c r="S76" s="8">
        <f t="shared" si="9"/>
        <v>0.61935920941967992</v>
      </c>
    </row>
    <row r="77" spans="1:19" x14ac:dyDescent="0.25">
      <c r="A77" s="10" t="s">
        <v>320</v>
      </c>
      <c r="B77" s="2">
        <v>2835</v>
      </c>
      <c r="C77" s="1" t="s">
        <v>1</v>
      </c>
      <c r="D77" s="3" t="s">
        <v>82</v>
      </c>
      <c r="E77" s="2" t="s">
        <v>3</v>
      </c>
      <c r="F77" s="2" t="s">
        <v>4</v>
      </c>
      <c r="G77" s="2" t="s">
        <v>12</v>
      </c>
      <c r="H77" s="3">
        <v>70</v>
      </c>
      <c r="I77" s="4">
        <f t="shared" si="11"/>
        <v>0.76500000000000001</v>
      </c>
      <c r="J77" s="9">
        <v>0.23499999999999999</v>
      </c>
      <c r="K77" s="5">
        <f t="shared" si="10"/>
        <v>0.94299999999999995</v>
      </c>
      <c r="L77" s="9">
        <v>0.02</v>
      </c>
      <c r="M77" s="9">
        <v>3.6999999999999998E-2</v>
      </c>
      <c r="N77" s="6" t="s">
        <v>6</v>
      </c>
      <c r="O77" s="69"/>
      <c r="P77" s="69"/>
      <c r="Q77" s="8">
        <f t="shared" si="7"/>
        <v>9.5594313725490174</v>
      </c>
      <c r="R77" s="8">
        <f t="shared" si="8"/>
        <v>0.20274509803921564</v>
      </c>
      <c r="S77" s="8">
        <f t="shared" si="9"/>
        <v>0.37507843137254893</v>
      </c>
    </row>
    <row r="78" spans="1:19" x14ac:dyDescent="0.25">
      <c r="A78" s="1" t="s">
        <v>86</v>
      </c>
      <c r="B78" s="1">
        <v>3030</v>
      </c>
      <c r="C78" s="1" t="s">
        <v>14</v>
      </c>
      <c r="D78" s="3" t="s">
        <v>82</v>
      </c>
      <c r="E78" s="1" t="s">
        <v>3</v>
      </c>
      <c r="F78" s="1" t="s">
        <v>4</v>
      </c>
      <c r="G78" s="1" t="s">
        <v>5</v>
      </c>
      <c r="H78" s="3">
        <v>70</v>
      </c>
      <c r="I78" s="11">
        <f t="shared" si="11"/>
        <v>0.63</v>
      </c>
      <c r="J78" s="12">
        <v>0.37</v>
      </c>
      <c r="K78" s="12">
        <f t="shared" si="10"/>
        <v>0.89304347826086961</v>
      </c>
      <c r="L78" s="13">
        <v>0.02</v>
      </c>
      <c r="M78" s="13">
        <v>8.6956521739130432E-2</v>
      </c>
      <c r="N78" s="6" t="s">
        <v>6</v>
      </c>
      <c r="O78" s="69"/>
      <c r="P78" s="69"/>
      <c r="Q78" s="8">
        <f t="shared" si="7"/>
        <v>17.308033126293996</v>
      </c>
      <c r="R78" s="8">
        <f t="shared" si="8"/>
        <v>0.38761904761904759</v>
      </c>
      <c r="S78" s="8">
        <f t="shared" si="9"/>
        <v>1.6853002070393373</v>
      </c>
    </row>
    <row r="79" spans="1:19" s="55" customFormat="1" x14ac:dyDescent="0.25">
      <c r="A79" s="1" t="s">
        <v>87</v>
      </c>
      <c r="B79" s="14">
        <v>3030</v>
      </c>
      <c r="C79" s="1" t="s">
        <v>14</v>
      </c>
      <c r="D79" s="3" t="s">
        <v>82</v>
      </c>
      <c r="E79" s="14" t="s">
        <v>3</v>
      </c>
      <c r="F79" s="14" t="s">
        <v>4</v>
      </c>
      <c r="G79" s="14" t="s">
        <v>8</v>
      </c>
      <c r="H79" s="3">
        <v>70</v>
      </c>
      <c r="I79" s="15">
        <f>100%-J79</f>
        <v>0.62</v>
      </c>
      <c r="J79" s="16">
        <v>0.38</v>
      </c>
      <c r="K79" s="16">
        <f t="shared" si="10"/>
        <v>0.91500000000000004</v>
      </c>
      <c r="L79" s="17">
        <v>0.02</v>
      </c>
      <c r="M79" s="17">
        <v>6.5000000000000002E-2</v>
      </c>
      <c r="N79" s="18" t="s">
        <v>6</v>
      </c>
      <c r="O79" s="69"/>
      <c r="P79" s="69"/>
      <c r="Q79" s="8">
        <f t="shared" si="7"/>
        <v>18.506612903225808</v>
      </c>
      <c r="R79" s="8">
        <f t="shared" si="8"/>
        <v>0.40451612903225809</v>
      </c>
      <c r="S79" s="8">
        <f t="shared" si="9"/>
        <v>1.3146774193548387</v>
      </c>
    </row>
    <row r="80" spans="1:19" x14ac:dyDescent="0.25">
      <c r="A80" s="1" t="s">
        <v>88</v>
      </c>
      <c r="B80" s="19">
        <v>3030</v>
      </c>
      <c r="C80" s="1" t="s">
        <v>14</v>
      </c>
      <c r="D80" s="3" t="s">
        <v>82</v>
      </c>
      <c r="E80" s="19" t="s">
        <v>3</v>
      </c>
      <c r="F80" s="19" t="s">
        <v>4</v>
      </c>
      <c r="G80" s="19" t="s">
        <v>10</v>
      </c>
      <c r="H80" s="3">
        <v>70</v>
      </c>
      <c r="I80" s="20">
        <f t="shared" ref="I80:I88" si="12">100%-J80</f>
        <v>0.73</v>
      </c>
      <c r="J80" s="16">
        <v>0.27</v>
      </c>
      <c r="K80" s="21">
        <f t="shared" si="10"/>
        <v>0.92699999999999994</v>
      </c>
      <c r="L80" s="22">
        <v>0.02</v>
      </c>
      <c r="M80" s="22">
        <v>5.2999999999999999E-2</v>
      </c>
      <c r="N80" s="18" t="s">
        <v>6</v>
      </c>
      <c r="O80" s="69"/>
      <c r="P80" s="69"/>
      <c r="Q80" s="8">
        <f t="shared" si="7"/>
        <v>11.314479452054796</v>
      </c>
      <c r="R80" s="8">
        <f t="shared" si="8"/>
        <v>0.24410958904109592</v>
      </c>
      <c r="S80" s="8">
        <f t="shared" si="9"/>
        <v>0.64689041095890421</v>
      </c>
    </row>
    <row r="81" spans="1:19" x14ac:dyDescent="0.25">
      <c r="A81" s="1" t="s">
        <v>89</v>
      </c>
      <c r="B81" s="2">
        <v>3030</v>
      </c>
      <c r="C81" s="1" t="s">
        <v>14</v>
      </c>
      <c r="D81" s="3" t="s">
        <v>82</v>
      </c>
      <c r="E81" s="2" t="s">
        <v>3</v>
      </c>
      <c r="F81" s="2" t="s">
        <v>4</v>
      </c>
      <c r="G81" s="23" t="s">
        <v>12</v>
      </c>
      <c r="H81" s="3">
        <v>70</v>
      </c>
      <c r="I81" s="4">
        <f t="shared" si="12"/>
        <v>0.78500000000000003</v>
      </c>
      <c r="J81" s="9">
        <v>0.215</v>
      </c>
      <c r="K81" s="5">
        <f t="shared" si="10"/>
        <v>0.93652173913043479</v>
      </c>
      <c r="L81" s="24">
        <v>0.02</v>
      </c>
      <c r="M81" s="24">
        <v>4.3478260869565216E-2</v>
      </c>
      <c r="N81" s="6" t="s">
        <v>6</v>
      </c>
      <c r="O81" s="69"/>
      <c r="P81" s="69"/>
      <c r="Q81" s="8">
        <f t="shared" si="7"/>
        <v>8.4644862918859047</v>
      </c>
      <c r="R81" s="8">
        <f t="shared" si="8"/>
        <v>0.18076433121019109</v>
      </c>
      <c r="S81" s="8">
        <f t="shared" si="9"/>
        <v>0.39296593741345887</v>
      </c>
    </row>
    <row r="82" spans="1:19" x14ac:dyDescent="0.25">
      <c r="A82" s="1" t="s">
        <v>321</v>
      </c>
      <c r="B82" s="3">
        <v>3030</v>
      </c>
      <c r="C82" s="1" t="s">
        <v>14</v>
      </c>
      <c r="D82" s="3" t="s">
        <v>82</v>
      </c>
      <c r="E82" s="3" t="s">
        <v>3</v>
      </c>
      <c r="F82" s="3" t="s">
        <v>4</v>
      </c>
      <c r="G82" s="3" t="s">
        <v>259</v>
      </c>
      <c r="H82" s="3">
        <v>70</v>
      </c>
      <c r="I82" s="32">
        <f t="shared" si="12"/>
        <v>0.8</v>
      </c>
      <c r="J82" s="33">
        <v>0.2</v>
      </c>
      <c r="K82" s="33">
        <f t="shared" si="10"/>
        <v>0.95014925373134329</v>
      </c>
      <c r="L82" s="36">
        <v>0.02</v>
      </c>
      <c r="M82" s="36">
        <v>2.9850746268656716E-2</v>
      </c>
      <c r="N82" s="34" t="s">
        <v>6</v>
      </c>
      <c r="O82" s="69"/>
      <c r="P82" s="69"/>
      <c r="Q82" s="8">
        <f t="shared" si="7"/>
        <v>7.8387313432835821</v>
      </c>
      <c r="R82" s="8">
        <f t="shared" si="8"/>
        <v>0.16500000000000001</v>
      </c>
      <c r="S82" s="8">
        <f t="shared" si="9"/>
        <v>0.2462686567164179</v>
      </c>
    </row>
    <row r="83" spans="1:19" x14ac:dyDescent="0.25">
      <c r="A83" s="1" t="s">
        <v>90</v>
      </c>
      <c r="B83" s="1">
        <v>3030</v>
      </c>
      <c r="C83" s="1" t="s">
        <v>14</v>
      </c>
      <c r="D83" s="3" t="s">
        <v>82</v>
      </c>
      <c r="E83" s="1" t="s">
        <v>20</v>
      </c>
      <c r="F83" s="1" t="s">
        <v>21</v>
      </c>
      <c r="G83" s="1" t="s">
        <v>5</v>
      </c>
      <c r="H83" s="3">
        <v>70</v>
      </c>
      <c r="I83" s="11">
        <f t="shared" si="12"/>
        <v>0.51</v>
      </c>
      <c r="J83" s="12">
        <v>0.49</v>
      </c>
      <c r="K83" s="12">
        <f t="shared" si="10"/>
        <v>0.91333333333333333</v>
      </c>
      <c r="L83" s="12">
        <v>0.02</v>
      </c>
      <c r="M83" s="12">
        <v>6.6666666666666666E-2</v>
      </c>
      <c r="N83" s="6" t="s">
        <v>6</v>
      </c>
      <c r="O83" s="69"/>
      <c r="P83" s="69"/>
      <c r="Q83" s="8">
        <f t="shared" si="7"/>
        <v>28.958039215686274</v>
      </c>
      <c r="R83" s="8">
        <f t="shared" si="8"/>
        <v>0.63411764705882345</v>
      </c>
      <c r="S83" s="8">
        <f t="shared" si="9"/>
        <v>2.113725490196078</v>
      </c>
    </row>
    <row r="84" spans="1:19" x14ac:dyDescent="0.25">
      <c r="A84" s="1" t="s">
        <v>91</v>
      </c>
      <c r="B84" s="3">
        <v>3030</v>
      </c>
      <c r="C84" s="1" t="s">
        <v>14</v>
      </c>
      <c r="D84" s="3" t="s">
        <v>82</v>
      </c>
      <c r="E84" s="3" t="s">
        <v>20</v>
      </c>
      <c r="F84" s="3" t="s">
        <v>21</v>
      </c>
      <c r="G84" s="3" t="s">
        <v>8</v>
      </c>
      <c r="H84" s="3">
        <v>70</v>
      </c>
      <c r="I84" s="32">
        <f t="shared" si="12"/>
        <v>0.55000000000000004</v>
      </c>
      <c r="J84" s="33">
        <v>0.45</v>
      </c>
      <c r="K84" s="33">
        <f t="shared" si="10"/>
        <v>0.65949999999999998</v>
      </c>
      <c r="L84" s="33">
        <v>0.3</v>
      </c>
      <c r="M84" s="33">
        <v>4.0500000000000001E-2</v>
      </c>
      <c r="N84" s="34" t="s">
        <v>44</v>
      </c>
      <c r="O84" s="69"/>
      <c r="P84" s="69"/>
      <c r="Q84" s="8">
        <f t="shared" si="7"/>
        <v>17.806499999999996</v>
      </c>
      <c r="R84" s="8">
        <f t="shared" si="8"/>
        <v>8.0999999999999979</v>
      </c>
      <c r="S84" s="8">
        <f t="shared" si="9"/>
        <v>1.0934999999999999</v>
      </c>
    </row>
    <row r="85" spans="1:19" x14ac:dyDescent="0.25">
      <c r="A85" s="1" t="s">
        <v>92</v>
      </c>
      <c r="B85" s="3">
        <v>3030</v>
      </c>
      <c r="C85" s="1" t="s">
        <v>14</v>
      </c>
      <c r="D85" s="3" t="s">
        <v>82</v>
      </c>
      <c r="E85" s="3" t="s">
        <v>20</v>
      </c>
      <c r="F85" s="3" t="s">
        <v>21</v>
      </c>
      <c r="G85" s="3" t="s">
        <v>10</v>
      </c>
      <c r="H85" s="3">
        <v>70</v>
      </c>
      <c r="I85" s="32">
        <f t="shared" si="12"/>
        <v>0.64</v>
      </c>
      <c r="J85" s="35">
        <v>0.36</v>
      </c>
      <c r="K85" s="33">
        <f t="shared" si="10"/>
        <v>0.72199999999999998</v>
      </c>
      <c r="L85" s="33">
        <v>0.25</v>
      </c>
      <c r="M85" s="33">
        <v>2.8000000000000001E-2</v>
      </c>
      <c r="N85" s="34" t="s">
        <v>266</v>
      </c>
      <c r="O85" s="69"/>
      <c r="P85" s="69"/>
      <c r="Q85" s="8">
        <f t="shared" si="7"/>
        <v>13.402125</v>
      </c>
      <c r="R85" s="8">
        <f t="shared" si="8"/>
        <v>4.640625</v>
      </c>
      <c r="S85" s="8">
        <f t="shared" si="9"/>
        <v>0.51975000000000005</v>
      </c>
    </row>
    <row r="86" spans="1:19" x14ac:dyDescent="0.25">
      <c r="A86" s="10" t="s">
        <v>93</v>
      </c>
      <c r="B86" s="3">
        <v>3030</v>
      </c>
      <c r="C86" s="1" t="s">
        <v>14</v>
      </c>
      <c r="D86" s="3" t="s">
        <v>82</v>
      </c>
      <c r="E86" s="3" t="s">
        <v>20</v>
      </c>
      <c r="F86" s="3" t="s">
        <v>21</v>
      </c>
      <c r="G86" s="3" t="s">
        <v>12</v>
      </c>
      <c r="H86" s="3">
        <v>70</v>
      </c>
      <c r="I86" s="32">
        <f t="shared" si="12"/>
        <v>0.71199999999999997</v>
      </c>
      <c r="J86" s="33">
        <v>0.28799999999999998</v>
      </c>
      <c r="K86" s="33">
        <f t="shared" si="10"/>
        <v>0.68299999999999994</v>
      </c>
      <c r="L86" s="33">
        <v>0.3</v>
      </c>
      <c r="M86" s="35">
        <v>1.7000000000000001E-2</v>
      </c>
      <c r="N86" s="34" t="s">
        <v>24</v>
      </c>
      <c r="O86" s="69"/>
      <c r="P86" s="69"/>
      <c r="Q86" s="8">
        <f t="shared" si="7"/>
        <v>9.1168988764044929</v>
      </c>
      <c r="R86" s="8">
        <f t="shared" si="8"/>
        <v>4.0044943820224717</v>
      </c>
      <c r="S86" s="8">
        <f t="shared" si="9"/>
        <v>0.22692134831460675</v>
      </c>
    </row>
    <row r="87" spans="1:19" x14ac:dyDescent="0.25">
      <c r="A87" s="1" t="s">
        <v>322</v>
      </c>
      <c r="B87" s="3">
        <v>3030</v>
      </c>
      <c r="C87" s="1" t="s">
        <v>14</v>
      </c>
      <c r="D87" s="3" t="s">
        <v>82</v>
      </c>
      <c r="E87" s="3" t="s">
        <v>20</v>
      </c>
      <c r="F87" s="3" t="s">
        <v>21</v>
      </c>
      <c r="G87" s="3" t="s">
        <v>259</v>
      </c>
      <c r="H87" s="3">
        <v>70</v>
      </c>
      <c r="I87" s="32">
        <f t="shared" si="12"/>
        <v>0.8</v>
      </c>
      <c r="J87" s="33">
        <v>0.2</v>
      </c>
      <c r="K87" s="33">
        <f t="shared" si="10"/>
        <v>0.95014925373134329</v>
      </c>
      <c r="L87" s="33">
        <v>0.02</v>
      </c>
      <c r="M87" s="33">
        <v>2.9850746268656716E-2</v>
      </c>
      <c r="N87" s="34" t="s">
        <v>6</v>
      </c>
      <c r="O87" s="69"/>
      <c r="P87" s="69"/>
      <c r="Q87" s="8">
        <f t="shared" si="7"/>
        <v>7.8387313432835821</v>
      </c>
      <c r="R87" s="8">
        <f t="shared" si="8"/>
        <v>0.16500000000000001</v>
      </c>
      <c r="S87" s="8">
        <f t="shared" si="9"/>
        <v>0.2462686567164179</v>
      </c>
    </row>
    <row r="88" spans="1:19" x14ac:dyDescent="0.25">
      <c r="A88" s="26" t="s">
        <v>94</v>
      </c>
      <c r="B88" s="1">
        <v>5050</v>
      </c>
      <c r="C88" s="1" t="s">
        <v>14</v>
      </c>
      <c r="D88" s="3" t="s">
        <v>82</v>
      </c>
      <c r="E88" s="1" t="s">
        <v>27</v>
      </c>
      <c r="F88" s="1" t="s">
        <v>28</v>
      </c>
      <c r="G88" s="1" t="s">
        <v>5</v>
      </c>
      <c r="H88" s="3">
        <v>70</v>
      </c>
      <c r="I88" s="11">
        <f t="shared" si="12"/>
        <v>0.65</v>
      </c>
      <c r="J88" s="12">
        <v>0.35</v>
      </c>
      <c r="K88" s="12">
        <f t="shared" si="10"/>
        <v>0.89500000000000002</v>
      </c>
      <c r="L88" s="13">
        <v>0.02</v>
      </c>
      <c r="M88" s="13">
        <v>8.5000000000000006E-2</v>
      </c>
      <c r="N88" s="6" t="s">
        <v>6</v>
      </c>
      <c r="O88" s="69"/>
      <c r="P88" s="69"/>
      <c r="Q88" s="8">
        <f t="shared" si="7"/>
        <v>15.903461538461537</v>
      </c>
      <c r="R88" s="8">
        <f t="shared" si="8"/>
        <v>0.35538461538461535</v>
      </c>
      <c r="S88" s="8">
        <f t="shared" si="9"/>
        <v>1.5103846153846152</v>
      </c>
    </row>
    <row r="89" spans="1:19" x14ac:dyDescent="0.25">
      <c r="A89" s="26" t="s">
        <v>95</v>
      </c>
      <c r="B89" s="1">
        <v>5050</v>
      </c>
      <c r="C89" s="1" t="s">
        <v>14</v>
      </c>
      <c r="D89" s="3" t="s">
        <v>82</v>
      </c>
      <c r="E89" s="1" t="s">
        <v>27</v>
      </c>
      <c r="F89" s="1" t="s">
        <v>28</v>
      </c>
      <c r="G89" s="1" t="s">
        <v>8</v>
      </c>
      <c r="H89" s="3">
        <v>70</v>
      </c>
      <c r="I89" s="11">
        <f>100%-J89</f>
        <v>0.68599999999999994</v>
      </c>
      <c r="J89" s="12">
        <v>0.314</v>
      </c>
      <c r="K89" s="12">
        <f t="shared" si="10"/>
        <v>0.90700000000000003</v>
      </c>
      <c r="L89" s="13">
        <v>0.02</v>
      </c>
      <c r="M89" s="13">
        <v>7.2999999999999995E-2</v>
      </c>
      <c r="N89" s="6" t="s">
        <v>6</v>
      </c>
      <c r="O89" s="69"/>
      <c r="P89" s="69"/>
      <c r="Q89" s="8">
        <f t="shared" si="7"/>
        <v>13.70019533527697</v>
      </c>
      <c r="R89" s="8">
        <f t="shared" si="8"/>
        <v>0.30209912536443151</v>
      </c>
      <c r="S89" s="8">
        <f t="shared" si="9"/>
        <v>1.1026618075801751</v>
      </c>
    </row>
    <row r="90" spans="1:19" x14ac:dyDescent="0.25">
      <c r="A90" s="26" t="s">
        <v>96</v>
      </c>
      <c r="B90" s="2">
        <v>5050</v>
      </c>
      <c r="C90" s="1" t="s">
        <v>14</v>
      </c>
      <c r="D90" s="3" t="s">
        <v>82</v>
      </c>
      <c r="E90" s="2" t="s">
        <v>27</v>
      </c>
      <c r="F90" s="2" t="s">
        <v>28</v>
      </c>
      <c r="G90" s="2" t="s">
        <v>10</v>
      </c>
      <c r="H90" s="3">
        <v>70</v>
      </c>
      <c r="I90" s="4">
        <f>100%-J90</f>
        <v>0.77</v>
      </c>
      <c r="J90" s="9">
        <v>0.23</v>
      </c>
      <c r="K90" s="5">
        <f t="shared" si="10"/>
        <v>0.92399999999999993</v>
      </c>
      <c r="L90" s="24">
        <v>0.02</v>
      </c>
      <c r="M90" s="24">
        <v>5.6000000000000001E-2</v>
      </c>
      <c r="N90" s="6" t="s">
        <v>6</v>
      </c>
      <c r="O90" s="69"/>
      <c r="P90" s="69"/>
      <c r="Q90" s="8">
        <f t="shared" si="7"/>
        <v>9.1080000000000005</v>
      </c>
      <c r="R90" s="8">
        <f t="shared" si="8"/>
        <v>0.19714285714285715</v>
      </c>
      <c r="S90" s="8">
        <f t="shared" si="9"/>
        <v>0.55200000000000005</v>
      </c>
    </row>
    <row r="91" spans="1:19" x14ac:dyDescent="0.25">
      <c r="A91" s="26" t="s">
        <v>97</v>
      </c>
      <c r="B91" s="27">
        <v>5050</v>
      </c>
      <c r="C91" s="1" t="s">
        <v>14</v>
      </c>
      <c r="D91" s="3" t="s">
        <v>82</v>
      </c>
      <c r="E91" s="27" t="s">
        <v>27</v>
      </c>
      <c r="F91" s="27" t="s">
        <v>28</v>
      </c>
      <c r="G91" s="27" t="s">
        <v>12</v>
      </c>
      <c r="H91" s="3">
        <v>70</v>
      </c>
      <c r="I91" s="28">
        <f>100%-J91</f>
        <v>0.81600000000000006</v>
      </c>
      <c r="J91" s="29">
        <v>0.184</v>
      </c>
      <c r="K91" s="29">
        <f t="shared" si="10"/>
        <v>0.93499999999999994</v>
      </c>
      <c r="L91" s="30">
        <v>0.02</v>
      </c>
      <c r="M91" s="30">
        <v>4.4999999999999998E-2</v>
      </c>
      <c r="N91" s="31" t="s">
        <v>6</v>
      </c>
      <c r="O91" s="69"/>
      <c r="P91" s="69"/>
      <c r="Q91" s="8">
        <f t="shared" si="7"/>
        <v>6.9574999999999987</v>
      </c>
      <c r="R91" s="8">
        <f t="shared" si="8"/>
        <v>0.14882352941176469</v>
      </c>
      <c r="S91" s="8">
        <f t="shared" si="9"/>
        <v>0.33485294117647052</v>
      </c>
    </row>
    <row r="92" spans="1:19" x14ac:dyDescent="0.25">
      <c r="A92" s="26" t="s">
        <v>323</v>
      </c>
      <c r="B92" s="3">
        <v>5050</v>
      </c>
      <c r="C92" s="1" t="s">
        <v>14</v>
      </c>
      <c r="D92" s="3" t="s">
        <v>82</v>
      </c>
      <c r="E92" s="3" t="s">
        <v>27</v>
      </c>
      <c r="F92" s="3" t="s">
        <v>28</v>
      </c>
      <c r="G92" s="3" t="s">
        <v>259</v>
      </c>
      <c r="H92" s="3">
        <v>70</v>
      </c>
      <c r="I92" s="32">
        <f t="shared" ref="I92:I102" si="13">100%-J92</f>
        <v>0.83</v>
      </c>
      <c r="J92" s="33">
        <v>0.17</v>
      </c>
      <c r="K92" s="33">
        <f t="shared" si="10"/>
        <v>0.94774193548387098</v>
      </c>
      <c r="L92" s="36">
        <v>0.02</v>
      </c>
      <c r="M92" s="36">
        <v>3.2258064516129031E-2</v>
      </c>
      <c r="N92" s="34" t="s">
        <v>6</v>
      </c>
      <c r="O92" s="69"/>
      <c r="P92" s="69"/>
      <c r="Q92" s="8">
        <f t="shared" si="7"/>
        <v>6.4058219976680935</v>
      </c>
      <c r="R92" s="8">
        <f t="shared" si="8"/>
        <v>0.1351807228915663</v>
      </c>
      <c r="S92" s="8">
        <f t="shared" si="9"/>
        <v>0.2180334240186553</v>
      </c>
    </row>
    <row r="93" spans="1:19" x14ac:dyDescent="0.25">
      <c r="A93" s="26" t="s">
        <v>98</v>
      </c>
      <c r="B93" s="3">
        <v>5050</v>
      </c>
      <c r="C93" s="1" t="s">
        <v>14</v>
      </c>
      <c r="D93" s="3" t="s">
        <v>82</v>
      </c>
      <c r="E93" s="3" t="s">
        <v>33</v>
      </c>
      <c r="F93" s="3" t="s">
        <v>34</v>
      </c>
      <c r="G93" s="3" t="s">
        <v>5</v>
      </c>
      <c r="H93" s="3">
        <v>70</v>
      </c>
      <c r="I93" s="32">
        <f t="shared" si="13"/>
        <v>0.55000000000000004</v>
      </c>
      <c r="J93" s="33">
        <v>0.45</v>
      </c>
      <c r="K93" s="33">
        <f t="shared" si="10"/>
        <v>0.91749999999999998</v>
      </c>
      <c r="L93" s="33">
        <v>0.02</v>
      </c>
      <c r="M93" s="33">
        <v>6.25E-2</v>
      </c>
      <c r="N93" s="34" t="s">
        <v>6</v>
      </c>
      <c r="O93" s="69"/>
      <c r="P93" s="69"/>
      <c r="Q93" s="8">
        <f t="shared" si="7"/>
        <v>24.772499999999997</v>
      </c>
      <c r="R93" s="8">
        <f t="shared" si="8"/>
        <v>0.53999999999999992</v>
      </c>
      <c r="S93" s="8">
        <f t="shared" si="9"/>
        <v>1.6874999999999998</v>
      </c>
    </row>
    <row r="94" spans="1:19" x14ac:dyDescent="0.25">
      <c r="A94" s="26" t="s">
        <v>99</v>
      </c>
      <c r="B94" s="3">
        <v>5050</v>
      </c>
      <c r="C94" s="1" t="s">
        <v>14</v>
      </c>
      <c r="D94" s="3" t="s">
        <v>82</v>
      </c>
      <c r="E94" s="3" t="s">
        <v>33</v>
      </c>
      <c r="F94" s="3" t="s">
        <v>36</v>
      </c>
      <c r="G94" s="3" t="s">
        <v>5</v>
      </c>
      <c r="H94" s="3">
        <v>70</v>
      </c>
      <c r="I94" s="32">
        <f t="shared" si="13"/>
        <v>0.55000000000000004</v>
      </c>
      <c r="J94" s="33">
        <v>0.45</v>
      </c>
      <c r="K94" s="33">
        <f t="shared" si="10"/>
        <v>0.91749999999999998</v>
      </c>
      <c r="L94" s="33">
        <v>0.02</v>
      </c>
      <c r="M94" s="33">
        <v>6.25E-2</v>
      </c>
      <c r="N94" s="34" t="s">
        <v>6</v>
      </c>
      <c r="O94" s="69"/>
      <c r="P94" s="69"/>
      <c r="Q94" s="8">
        <f t="shared" si="7"/>
        <v>24.772499999999997</v>
      </c>
      <c r="R94" s="8">
        <f t="shared" si="8"/>
        <v>0.53999999999999992</v>
      </c>
      <c r="S94" s="8">
        <f t="shared" si="9"/>
        <v>1.6874999999999998</v>
      </c>
    </row>
    <row r="95" spans="1:19" x14ac:dyDescent="0.25">
      <c r="A95" s="26" t="s">
        <v>100</v>
      </c>
      <c r="B95" s="2">
        <v>5050</v>
      </c>
      <c r="C95" s="1" t="s">
        <v>14</v>
      </c>
      <c r="D95" s="3" t="s">
        <v>82</v>
      </c>
      <c r="E95" s="2" t="s">
        <v>33</v>
      </c>
      <c r="F95" s="2" t="s">
        <v>34</v>
      </c>
      <c r="G95" s="2" t="s">
        <v>8</v>
      </c>
      <c r="H95" s="3">
        <v>70</v>
      </c>
      <c r="I95" s="4">
        <f t="shared" si="13"/>
        <v>0.57000000000000006</v>
      </c>
      <c r="J95" s="5">
        <v>0.43</v>
      </c>
      <c r="K95" s="5">
        <f t="shared" si="10"/>
        <v>0.92620000000000002</v>
      </c>
      <c r="L95" s="5">
        <v>1.9999999999999997E-2</v>
      </c>
      <c r="M95" s="5">
        <v>5.3800000000000001E-2</v>
      </c>
      <c r="N95" s="6" t="s">
        <v>6</v>
      </c>
      <c r="O95" s="69"/>
      <c r="P95" s="69"/>
      <c r="Q95" s="8">
        <f t="shared" si="7"/>
        <v>23.057505263157893</v>
      </c>
      <c r="R95" s="8">
        <f t="shared" si="8"/>
        <v>0.49789473684210511</v>
      </c>
      <c r="S95" s="8">
        <f t="shared" si="9"/>
        <v>1.3393368421052629</v>
      </c>
    </row>
    <row r="96" spans="1:19" x14ac:dyDescent="0.25">
      <c r="A96" s="26" t="s">
        <v>101</v>
      </c>
      <c r="B96" s="2">
        <v>5050</v>
      </c>
      <c r="C96" s="1" t="s">
        <v>14</v>
      </c>
      <c r="D96" s="3" t="s">
        <v>82</v>
      </c>
      <c r="E96" s="2" t="s">
        <v>33</v>
      </c>
      <c r="F96" s="2" t="s">
        <v>36</v>
      </c>
      <c r="G96" s="2" t="s">
        <v>8</v>
      </c>
      <c r="H96" s="3">
        <v>70</v>
      </c>
      <c r="I96" s="4">
        <f t="shared" si="13"/>
        <v>0.56499999999999995</v>
      </c>
      <c r="J96" s="5">
        <v>0.435</v>
      </c>
      <c r="K96" s="5">
        <f t="shared" si="10"/>
        <v>0.70499999999999996</v>
      </c>
      <c r="L96" s="5">
        <v>0.25</v>
      </c>
      <c r="M96" s="5">
        <v>4.4999999999999998E-2</v>
      </c>
      <c r="N96" s="6" t="s">
        <v>266</v>
      </c>
      <c r="O96" s="69"/>
      <c r="P96" s="69"/>
      <c r="Q96" s="8">
        <f t="shared" si="7"/>
        <v>17.911991150442478</v>
      </c>
      <c r="R96" s="8">
        <f t="shared" si="8"/>
        <v>6.3517699115044257</v>
      </c>
      <c r="S96" s="8">
        <f t="shared" si="9"/>
        <v>1.1433185840707967</v>
      </c>
    </row>
    <row r="97" spans="1:19" x14ac:dyDescent="0.25">
      <c r="A97" s="26" t="s">
        <v>102</v>
      </c>
      <c r="B97" s="3">
        <v>5050</v>
      </c>
      <c r="C97" s="1" t="s">
        <v>14</v>
      </c>
      <c r="D97" s="3" t="s">
        <v>82</v>
      </c>
      <c r="E97" s="3" t="s">
        <v>33</v>
      </c>
      <c r="F97" s="3" t="s">
        <v>34</v>
      </c>
      <c r="G97" s="3" t="s">
        <v>10</v>
      </c>
      <c r="H97" s="3">
        <v>70</v>
      </c>
      <c r="I97" s="32">
        <f t="shared" si="13"/>
        <v>0.66999999999999993</v>
      </c>
      <c r="J97" s="35">
        <v>0.33</v>
      </c>
      <c r="K97" s="33">
        <f t="shared" si="10"/>
        <v>0.61799999999999999</v>
      </c>
      <c r="L97" s="35">
        <v>0.35</v>
      </c>
      <c r="M97" s="35">
        <v>3.2000000000000001E-2</v>
      </c>
      <c r="N97" s="34" t="s">
        <v>24</v>
      </c>
      <c r="O97" s="69"/>
      <c r="P97" s="69"/>
      <c r="Q97" s="8">
        <f t="shared" si="7"/>
        <v>10.044805970149257</v>
      </c>
      <c r="R97" s="8">
        <f t="shared" si="8"/>
        <v>5.6888059701492546</v>
      </c>
      <c r="S97" s="8">
        <f t="shared" si="9"/>
        <v>0.52011940298507475</v>
      </c>
    </row>
    <row r="98" spans="1:19" x14ac:dyDescent="0.25">
      <c r="A98" s="26" t="s">
        <v>103</v>
      </c>
      <c r="B98" s="3">
        <v>5050</v>
      </c>
      <c r="C98" s="1" t="s">
        <v>14</v>
      </c>
      <c r="D98" s="3" t="s">
        <v>82</v>
      </c>
      <c r="E98" s="3" t="s">
        <v>33</v>
      </c>
      <c r="F98" s="3" t="s">
        <v>36</v>
      </c>
      <c r="G98" s="3" t="s">
        <v>10</v>
      </c>
      <c r="H98" s="3">
        <v>70</v>
      </c>
      <c r="I98" s="32">
        <f t="shared" si="13"/>
        <v>0.69500000000000006</v>
      </c>
      <c r="J98" s="35">
        <v>0.30499999999999999</v>
      </c>
      <c r="K98" s="33">
        <f t="shared" si="10"/>
        <v>0.66499999999999992</v>
      </c>
      <c r="L98" s="35">
        <v>0.3</v>
      </c>
      <c r="M98" s="35">
        <v>3.5000000000000003E-2</v>
      </c>
      <c r="N98" s="34" t="s">
        <v>24</v>
      </c>
      <c r="O98" s="69"/>
      <c r="P98" s="69"/>
      <c r="Q98" s="8">
        <f t="shared" si="7"/>
        <v>9.6305395683453217</v>
      </c>
      <c r="R98" s="8">
        <f t="shared" si="8"/>
        <v>4.3446043165467616</v>
      </c>
      <c r="S98" s="8">
        <f t="shared" si="9"/>
        <v>0.50687050359712227</v>
      </c>
    </row>
    <row r="99" spans="1:19" x14ac:dyDescent="0.25">
      <c r="A99" s="26" t="s">
        <v>104</v>
      </c>
      <c r="B99" s="2">
        <v>5050</v>
      </c>
      <c r="C99" s="1" t="s">
        <v>14</v>
      </c>
      <c r="D99" s="3" t="s">
        <v>82</v>
      </c>
      <c r="E99" s="2" t="s">
        <v>33</v>
      </c>
      <c r="F99" s="2" t="s">
        <v>36</v>
      </c>
      <c r="G99" s="2" t="s">
        <v>12</v>
      </c>
      <c r="H99" s="3">
        <v>70</v>
      </c>
      <c r="I99" s="4">
        <f t="shared" si="13"/>
        <v>0.73499999999999999</v>
      </c>
      <c r="J99" s="5">
        <v>0.26500000000000001</v>
      </c>
      <c r="K99" s="5">
        <f t="shared" si="10"/>
        <v>0.77</v>
      </c>
      <c r="L99" s="9">
        <v>0.2</v>
      </c>
      <c r="M99" s="9">
        <v>0.03</v>
      </c>
      <c r="N99" s="6" t="s">
        <v>266</v>
      </c>
      <c r="O99" s="69"/>
      <c r="P99" s="69"/>
      <c r="Q99" s="8">
        <f t="shared" si="7"/>
        <v>9.1614285714285728</v>
      </c>
      <c r="R99" s="8">
        <f t="shared" si="8"/>
        <v>2.3795918367346944</v>
      </c>
      <c r="S99" s="8">
        <f t="shared" si="9"/>
        <v>0.35693877551020414</v>
      </c>
    </row>
    <row r="100" spans="1:19" x14ac:dyDescent="0.25">
      <c r="A100" s="26" t="s">
        <v>105</v>
      </c>
      <c r="B100" s="2">
        <v>5050</v>
      </c>
      <c r="C100" s="1" t="s">
        <v>14</v>
      </c>
      <c r="D100" s="3" t="s">
        <v>82</v>
      </c>
      <c r="E100" s="2" t="s">
        <v>33</v>
      </c>
      <c r="F100" s="2" t="s">
        <v>34</v>
      </c>
      <c r="G100" s="2" t="s">
        <v>12</v>
      </c>
      <c r="H100" s="3">
        <v>70</v>
      </c>
      <c r="I100" s="4">
        <f t="shared" si="13"/>
        <v>0.76500000000000001</v>
      </c>
      <c r="J100" s="5">
        <v>0.23499999999999999</v>
      </c>
      <c r="K100" s="5">
        <f t="shared" si="10"/>
        <v>0.94430000000000003</v>
      </c>
      <c r="L100" s="9">
        <v>0.02</v>
      </c>
      <c r="M100" s="9">
        <v>3.5700000000000003E-2</v>
      </c>
      <c r="N100" s="6" t="s">
        <v>6</v>
      </c>
      <c r="O100" s="69"/>
      <c r="P100" s="69"/>
      <c r="Q100" s="8">
        <f t="shared" si="7"/>
        <v>9.5726098039215675</v>
      </c>
      <c r="R100" s="8">
        <f t="shared" si="8"/>
        <v>0.20274509803921564</v>
      </c>
      <c r="S100" s="8">
        <f t="shared" si="9"/>
        <v>0.36189999999999994</v>
      </c>
    </row>
    <row r="101" spans="1:19" x14ac:dyDescent="0.25">
      <c r="A101" s="26" t="s">
        <v>324</v>
      </c>
      <c r="B101" s="3">
        <v>5050</v>
      </c>
      <c r="C101" s="1" t="s">
        <v>14</v>
      </c>
      <c r="D101" s="3" t="s">
        <v>82</v>
      </c>
      <c r="E101" s="3" t="s">
        <v>33</v>
      </c>
      <c r="F101" s="3" t="s">
        <v>34</v>
      </c>
      <c r="G101" s="3" t="s">
        <v>259</v>
      </c>
      <c r="H101" s="3">
        <v>70</v>
      </c>
      <c r="I101" s="32">
        <f t="shared" si="13"/>
        <v>0.83</v>
      </c>
      <c r="J101" s="33">
        <v>0.17</v>
      </c>
      <c r="K101" s="33">
        <f t="shared" si="10"/>
        <v>0.94774193548387098</v>
      </c>
      <c r="L101" s="33">
        <v>0.02</v>
      </c>
      <c r="M101" s="33">
        <v>3.2258064516129031E-2</v>
      </c>
      <c r="N101" s="34" t="s">
        <v>6</v>
      </c>
      <c r="O101" s="69"/>
      <c r="P101" s="69"/>
      <c r="Q101" s="8">
        <f t="shared" si="7"/>
        <v>6.4058219976680935</v>
      </c>
      <c r="R101" s="8">
        <f t="shared" si="8"/>
        <v>0.1351807228915663</v>
      </c>
      <c r="S101" s="8">
        <f t="shared" si="9"/>
        <v>0.2180334240186553</v>
      </c>
    </row>
    <row r="102" spans="1:19" x14ac:dyDescent="0.25">
      <c r="A102" s="26" t="s">
        <v>325</v>
      </c>
      <c r="B102" s="3">
        <v>5050</v>
      </c>
      <c r="C102" s="1" t="s">
        <v>14</v>
      </c>
      <c r="D102" s="3" t="s">
        <v>82</v>
      </c>
      <c r="E102" s="3" t="s">
        <v>33</v>
      </c>
      <c r="F102" s="3" t="s">
        <v>36</v>
      </c>
      <c r="G102" s="3" t="s">
        <v>259</v>
      </c>
      <c r="H102" s="3">
        <v>70</v>
      </c>
      <c r="I102" s="32">
        <f t="shared" si="13"/>
        <v>0.83</v>
      </c>
      <c r="J102" s="33">
        <v>0.17</v>
      </c>
      <c r="K102" s="33">
        <f t="shared" si="10"/>
        <v>0.94774193548387098</v>
      </c>
      <c r="L102" s="33">
        <v>0.02</v>
      </c>
      <c r="M102" s="33">
        <v>3.2258064516129031E-2</v>
      </c>
      <c r="N102" s="34" t="s">
        <v>6</v>
      </c>
      <c r="O102" s="69"/>
      <c r="P102" s="69"/>
      <c r="Q102" s="8">
        <f t="shared" si="7"/>
        <v>6.4058219976680935</v>
      </c>
      <c r="R102" s="8">
        <f t="shared" si="8"/>
        <v>0.1351807228915663</v>
      </c>
      <c r="S102" s="8">
        <f t="shared" si="9"/>
        <v>0.2180334240186553</v>
      </c>
    </row>
    <row r="103" spans="1:19" x14ac:dyDescent="0.25">
      <c r="A103" s="1" t="s">
        <v>326</v>
      </c>
      <c r="B103" s="2">
        <v>2835</v>
      </c>
      <c r="C103" s="1" t="s">
        <v>1</v>
      </c>
      <c r="D103" s="3" t="s">
        <v>82</v>
      </c>
      <c r="E103" s="2" t="s">
        <v>3</v>
      </c>
      <c r="F103" s="2" t="s">
        <v>4</v>
      </c>
      <c r="G103" s="2" t="s">
        <v>5</v>
      </c>
      <c r="H103" s="3">
        <v>80</v>
      </c>
      <c r="I103" s="4">
        <f>100%-J103</f>
        <v>0.5</v>
      </c>
      <c r="J103" s="5">
        <v>0.5</v>
      </c>
      <c r="K103" s="5">
        <f t="shared" si="10"/>
        <v>0.89549999999999996</v>
      </c>
      <c r="L103" s="5">
        <v>0.05</v>
      </c>
      <c r="M103" s="5">
        <v>5.45E-2</v>
      </c>
      <c r="N103" s="6" t="s">
        <v>266</v>
      </c>
      <c r="O103" s="69"/>
      <c r="P103" s="69"/>
      <c r="Q103" s="8">
        <f t="shared" si="7"/>
        <v>29.551499999999997</v>
      </c>
      <c r="R103" s="8">
        <f t="shared" si="8"/>
        <v>1.6500000000000001</v>
      </c>
      <c r="S103" s="8">
        <f t="shared" si="9"/>
        <v>1.7985</v>
      </c>
    </row>
    <row r="104" spans="1:19" x14ac:dyDescent="0.25">
      <c r="A104" s="1" t="s">
        <v>327</v>
      </c>
      <c r="B104" s="2">
        <v>2835</v>
      </c>
      <c r="C104" s="1" t="s">
        <v>1</v>
      </c>
      <c r="D104" s="3" t="s">
        <v>82</v>
      </c>
      <c r="E104" s="2" t="s">
        <v>3</v>
      </c>
      <c r="F104" s="2" t="s">
        <v>4</v>
      </c>
      <c r="G104" s="2" t="s">
        <v>8</v>
      </c>
      <c r="H104" s="3">
        <v>80</v>
      </c>
      <c r="I104" s="4">
        <f>100%-J104</f>
        <v>0.59000000000000008</v>
      </c>
      <c r="J104" s="5">
        <v>0.41</v>
      </c>
      <c r="K104" s="5">
        <f t="shared" si="10"/>
        <v>0.92449999999999999</v>
      </c>
      <c r="L104" s="5">
        <v>0.02</v>
      </c>
      <c r="M104" s="5">
        <v>5.5500000000000001E-2</v>
      </c>
      <c r="N104" s="6" t="s">
        <v>6</v>
      </c>
      <c r="O104" s="69"/>
      <c r="P104" s="69"/>
      <c r="Q104" s="8">
        <f t="shared" si="7"/>
        <v>21.200822033898298</v>
      </c>
      <c r="R104" s="8">
        <f t="shared" si="8"/>
        <v>0.45864406779661004</v>
      </c>
      <c r="S104" s="8">
        <f t="shared" si="9"/>
        <v>1.2727372881355929</v>
      </c>
    </row>
    <row r="105" spans="1:19" x14ac:dyDescent="0.25">
      <c r="A105" s="1" t="s">
        <v>328</v>
      </c>
      <c r="B105" s="2">
        <v>2835</v>
      </c>
      <c r="C105" s="1" t="s">
        <v>1</v>
      </c>
      <c r="D105" s="3" t="s">
        <v>82</v>
      </c>
      <c r="E105" s="2" t="s">
        <v>3</v>
      </c>
      <c r="F105" s="2" t="s">
        <v>4</v>
      </c>
      <c r="G105" s="2" t="s">
        <v>10</v>
      </c>
      <c r="H105" s="3">
        <v>80</v>
      </c>
      <c r="I105" s="4">
        <f t="shared" ref="I105:I107" si="14">100%-J105</f>
        <v>0.58499999999999996</v>
      </c>
      <c r="J105" s="9">
        <v>0.41499999999999998</v>
      </c>
      <c r="K105" s="5">
        <f t="shared" si="10"/>
        <v>0.3</v>
      </c>
      <c r="L105" s="9">
        <v>0.66400000000000003</v>
      </c>
      <c r="M105" s="9">
        <v>3.5999999999999997E-2</v>
      </c>
      <c r="N105" s="6" t="s">
        <v>24</v>
      </c>
      <c r="O105" s="69"/>
      <c r="P105" s="69"/>
      <c r="Q105" s="8">
        <f t="shared" si="7"/>
        <v>7.0230769230769239</v>
      </c>
      <c r="R105" s="8">
        <f t="shared" si="8"/>
        <v>15.544410256410259</v>
      </c>
      <c r="S105" s="8">
        <f t="shared" si="9"/>
        <v>0.84276923076923083</v>
      </c>
    </row>
    <row r="106" spans="1:19" x14ac:dyDescent="0.25">
      <c r="A106" s="10" t="s">
        <v>329</v>
      </c>
      <c r="B106" s="2">
        <v>2835</v>
      </c>
      <c r="C106" s="1" t="s">
        <v>1</v>
      </c>
      <c r="D106" s="3" t="s">
        <v>82</v>
      </c>
      <c r="E106" s="2" t="s">
        <v>3</v>
      </c>
      <c r="F106" s="2" t="s">
        <v>4</v>
      </c>
      <c r="G106" s="2" t="s">
        <v>12</v>
      </c>
      <c r="H106" s="3">
        <v>80</v>
      </c>
      <c r="I106" s="4">
        <f t="shared" si="14"/>
        <v>0.76500000000000001</v>
      </c>
      <c r="J106" s="9">
        <v>0.23499999999999999</v>
      </c>
      <c r="K106" s="5">
        <f t="shared" si="10"/>
        <v>0.94299999999999995</v>
      </c>
      <c r="L106" s="9">
        <v>0.02</v>
      </c>
      <c r="M106" s="9">
        <v>3.6999999999999998E-2</v>
      </c>
      <c r="N106" s="6" t="s">
        <v>6</v>
      </c>
      <c r="O106" s="69"/>
      <c r="P106" s="69"/>
      <c r="Q106" s="8">
        <f t="shared" si="7"/>
        <v>9.5594313725490174</v>
      </c>
      <c r="R106" s="8">
        <f t="shared" si="8"/>
        <v>0.20274509803921564</v>
      </c>
      <c r="S106" s="8">
        <f t="shared" si="9"/>
        <v>0.37507843137254893</v>
      </c>
    </row>
    <row r="107" spans="1:19" x14ac:dyDescent="0.25">
      <c r="A107" s="1" t="s">
        <v>110</v>
      </c>
      <c r="B107" s="1">
        <v>3030</v>
      </c>
      <c r="C107" s="1" t="s">
        <v>14</v>
      </c>
      <c r="D107" s="3" t="s">
        <v>82</v>
      </c>
      <c r="E107" s="1" t="s">
        <v>3</v>
      </c>
      <c r="F107" s="1" t="s">
        <v>4</v>
      </c>
      <c r="G107" s="1" t="s">
        <v>5</v>
      </c>
      <c r="H107" s="3">
        <v>80</v>
      </c>
      <c r="I107" s="11">
        <f t="shared" si="14"/>
        <v>0.63</v>
      </c>
      <c r="J107" s="12">
        <v>0.37</v>
      </c>
      <c r="K107" s="12">
        <f t="shared" si="10"/>
        <v>0.89304347826086961</v>
      </c>
      <c r="L107" s="13">
        <v>0.02</v>
      </c>
      <c r="M107" s="13">
        <v>8.6956521739130432E-2</v>
      </c>
      <c r="N107" s="6" t="s">
        <v>6</v>
      </c>
      <c r="O107" s="69"/>
      <c r="P107" s="69"/>
      <c r="Q107" s="8">
        <f t="shared" si="7"/>
        <v>17.308033126293996</v>
      </c>
      <c r="R107" s="8">
        <f t="shared" si="8"/>
        <v>0.38761904761904759</v>
      </c>
      <c r="S107" s="8">
        <f t="shared" si="9"/>
        <v>1.6853002070393373</v>
      </c>
    </row>
    <row r="108" spans="1:19" s="55" customFormat="1" x14ac:dyDescent="0.25">
      <c r="A108" s="1" t="s">
        <v>111</v>
      </c>
      <c r="B108" s="14">
        <v>3030</v>
      </c>
      <c r="C108" s="1" t="s">
        <v>14</v>
      </c>
      <c r="D108" s="3" t="s">
        <v>82</v>
      </c>
      <c r="E108" s="14" t="s">
        <v>3</v>
      </c>
      <c r="F108" s="14" t="s">
        <v>4</v>
      </c>
      <c r="G108" s="14" t="s">
        <v>8</v>
      </c>
      <c r="H108" s="3">
        <v>80</v>
      </c>
      <c r="I108" s="15">
        <f>100%-J108</f>
        <v>0.62</v>
      </c>
      <c r="J108" s="16">
        <v>0.38</v>
      </c>
      <c r="K108" s="16">
        <f t="shared" si="10"/>
        <v>0.91500000000000004</v>
      </c>
      <c r="L108" s="17">
        <v>0.02</v>
      </c>
      <c r="M108" s="17">
        <v>6.5000000000000002E-2</v>
      </c>
      <c r="N108" s="18" t="s">
        <v>6</v>
      </c>
      <c r="O108" s="69"/>
      <c r="P108" s="69"/>
      <c r="Q108" s="8">
        <f t="shared" si="7"/>
        <v>18.506612903225808</v>
      </c>
      <c r="R108" s="8">
        <f t="shared" si="8"/>
        <v>0.40451612903225809</v>
      </c>
      <c r="S108" s="8">
        <f t="shared" si="9"/>
        <v>1.3146774193548387</v>
      </c>
    </row>
    <row r="109" spans="1:19" x14ac:dyDescent="0.25">
      <c r="A109" s="1" t="s">
        <v>112</v>
      </c>
      <c r="B109" s="19">
        <v>3030</v>
      </c>
      <c r="C109" s="1" t="s">
        <v>14</v>
      </c>
      <c r="D109" s="3" t="s">
        <v>82</v>
      </c>
      <c r="E109" s="19" t="s">
        <v>3</v>
      </c>
      <c r="F109" s="19" t="s">
        <v>4</v>
      </c>
      <c r="G109" s="19" t="s">
        <v>10</v>
      </c>
      <c r="H109" s="3">
        <v>80</v>
      </c>
      <c r="I109" s="20">
        <f t="shared" ref="I109:I117" si="15">100%-J109</f>
        <v>0.73</v>
      </c>
      <c r="J109" s="16">
        <v>0.27</v>
      </c>
      <c r="K109" s="21">
        <f t="shared" si="10"/>
        <v>0.92699999999999994</v>
      </c>
      <c r="L109" s="22">
        <v>0.02</v>
      </c>
      <c r="M109" s="22">
        <v>5.2999999999999999E-2</v>
      </c>
      <c r="N109" s="18" t="s">
        <v>6</v>
      </c>
      <c r="O109" s="69"/>
      <c r="P109" s="69"/>
      <c r="Q109" s="8">
        <f t="shared" si="7"/>
        <v>11.314479452054796</v>
      </c>
      <c r="R109" s="8">
        <f t="shared" si="8"/>
        <v>0.24410958904109592</v>
      </c>
      <c r="S109" s="8">
        <f t="shared" si="9"/>
        <v>0.64689041095890421</v>
      </c>
    </row>
    <row r="110" spans="1:19" x14ac:dyDescent="0.25">
      <c r="A110" s="1" t="s">
        <v>113</v>
      </c>
      <c r="B110" s="2">
        <v>3030</v>
      </c>
      <c r="C110" s="1" t="s">
        <v>14</v>
      </c>
      <c r="D110" s="3" t="s">
        <v>82</v>
      </c>
      <c r="E110" s="2" t="s">
        <v>3</v>
      </c>
      <c r="F110" s="2" t="s">
        <v>4</v>
      </c>
      <c r="G110" s="23" t="s">
        <v>12</v>
      </c>
      <c r="H110" s="3">
        <v>80</v>
      </c>
      <c r="I110" s="4">
        <f t="shared" si="15"/>
        <v>0.78500000000000003</v>
      </c>
      <c r="J110" s="9">
        <v>0.215</v>
      </c>
      <c r="K110" s="5">
        <f t="shared" si="10"/>
        <v>0.93652173913043479</v>
      </c>
      <c r="L110" s="24">
        <v>0.02</v>
      </c>
      <c r="M110" s="24">
        <v>4.3478260869565216E-2</v>
      </c>
      <c r="N110" s="6" t="s">
        <v>6</v>
      </c>
      <c r="O110" s="69"/>
      <c r="P110" s="69"/>
      <c r="Q110" s="8">
        <f t="shared" si="7"/>
        <v>8.4644862918859047</v>
      </c>
      <c r="R110" s="8">
        <f t="shared" si="8"/>
        <v>0.18076433121019109</v>
      </c>
      <c r="S110" s="8">
        <f t="shared" si="9"/>
        <v>0.39296593741345887</v>
      </c>
    </row>
    <row r="111" spans="1:19" x14ac:dyDescent="0.25">
      <c r="A111" s="1" t="s">
        <v>330</v>
      </c>
      <c r="B111" s="3">
        <v>3030</v>
      </c>
      <c r="C111" s="1" t="s">
        <v>14</v>
      </c>
      <c r="D111" s="3" t="s">
        <v>82</v>
      </c>
      <c r="E111" s="3" t="s">
        <v>3</v>
      </c>
      <c r="F111" s="3" t="s">
        <v>4</v>
      </c>
      <c r="G111" s="3" t="s">
        <v>259</v>
      </c>
      <c r="H111" s="3">
        <v>80</v>
      </c>
      <c r="I111" s="32">
        <f t="shared" si="15"/>
        <v>0.8</v>
      </c>
      <c r="J111" s="33">
        <v>0.2</v>
      </c>
      <c r="K111" s="33">
        <f t="shared" si="10"/>
        <v>0.95014925373134329</v>
      </c>
      <c r="L111" s="36">
        <v>0.02</v>
      </c>
      <c r="M111" s="36">
        <v>2.9850746268656716E-2</v>
      </c>
      <c r="N111" s="34" t="s">
        <v>6</v>
      </c>
      <c r="O111" s="69"/>
      <c r="P111" s="69"/>
      <c r="Q111" s="8">
        <f t="shared" si="7"/>
        <v>7.8387313432835821</v>
      </c>
      <c r="R111" s="8">
        <f t="shared" si="8"/>
        <v>0.16500000000000001</v>
      </c>
      <c r="S111" s="8">
        <f t="shared" si="9"/>
        <v>0.2462686567164179</v>
      </c>
    </row>
    <row r="112" spans="1:19" x14ac:dyDescent="0.25">
      <c r="A112" s="1" t="s">
        <v>114</v>
      </c>
      <c r="B112" s="1">
        <v>3030</v>
      </c>
      <c r="C112" s="1" t="s">
        <v>14</v>
      </c>
      <c r="D112" s="3" t="s">
        <v>82</v>
      </c>
      <c r="E112" s="1" t="s">
        <v>20</v>
      </c>
      <c r="F112" s="1" t="s">
        <v>21</v>
      </c>
      <c r="G112" s="1" t="s">
        <v>5</v>
      </c>
      <c r="H112" s="3">
        <v>80</v>
      </c>
      <c r="I112" s="11">
        <f t="shared" si="15"/>
        <v>0.51</v>
      </c>
      <c r="J112" s="12">
        <v>0.49</v>
      </c>
      <c r="K112" s="12">
        <f t="shared" si="10"/>
        <v>0.91333333333333333</v>
      </c>
      <c r="L112" s="12">
        <v>0.02</v>
      </c>
      <c r="M112" s="12">
        <v>6.6666666666666666E-2</v>
      </c>
      <c r="N112" s="6" t="s">
        <v>6</v>
      </c>
      <c r="O112" s="69"/>
      <c r="P112" s="69"/>
      <c r="Q112" s="8">
        <f t="shared" si="7"/>
        <v>28.958039215686274</v>
      </c>
      <c r="R112" s="8">
        <f t="shared" si="8"/>
        <v>0.63411764705882345</v>
      </c>
      <c r="S112" s="8">
        <f t="shared" si="9"/>
        <v>2.113725490196078</v>
      </c>
    </row>
    <row r="113" spans="1:19" x14ac:dyDescent="0.25">
      <c r="A113" s="1" t="s">
        <v>115</v>
      </c>
      <c r="B113" s="3">
        <v>3030</v>
      </c>
      <c r="C113" s="1" t="s">
        <v>14</v>
      </c>
      <c r="D113" s="3" t="s">
        <v>82</v>
      </c>
      <c r="E113" s="3" t="s">
        <v>20</v>
      </c>
      <c r="F113" s="3" t="s">
        <v>21</v>
      </c>
      <c r="G113" s="3" t="s">
        <v>8</v>
      </c>
      <c r="H113" s="3">
        <v>80</v>
      </c>
      <c r="I113" s="32">
        <f t="shared" si="15"/>
        <v>0.5</v>
      </c>
      <c r="J113" s="33">
        <v>0.5</v>
      </c>
      <c r="K113" s="33">
        <f t="shared" si="10"/>
        <v>4.9999999999999982E-2</v>
      </c>
      <c r="L113" s="33">
        <v>0.89300000000000002</v>
      </c>
      <c r="M113" s="33">
        <v>5.7000000000000002E-2</v>
      </c>
      <c r="N113" s="34" t="s">
        <v>6</v>
      </c>
      <c r="O113" s="69"/>
      <c r="P113" s="69"/>
      <c r="Q113" s="8">
        <f t="shared" si="7"/>
        <v>1.6499999999999995</v>
      </c>
      <c r="R113" s="8">
        <f t="shared" si="8"/>
        <v>29.469000000000001</v>
      </c>
      <c r="S113" s="8">
        <f t="shared" si="9"/>
        <v>1.881</v>
      </c>
    </row>
    <row r="114" spans="1:19" x14ac:dyDescent="0.25">
      <c r="A114" s="1" t="s">
        <v>116</v>
      </c>
      <c r="B114" s="3">
        <v>3030</v>
      </c>
      <c r="C114" s="1" t="s">
        <v>14</v>
      </c>
      <c r="D114" s="3" t="s">
        <v>82</v>
      </c>
      <c r="E114" s="3" t="s">
        <v>20</v>
      </c>
      <c r="F114" s="3" t="s">
        <v>21</v>
      </c>
      <c r="G114" s="3" t="s">
        <v>10</v>
      </c>
      <c r="H114" s="3">
        <v>80</v>
      </c>
      <c r="I114" s="32">
        <f t="shared" si="15"/>
        <v>0.59000000000000008</v>
      </c>
      <c r="J114" s="35">
        <v>0.41</v>
      </c>
      <c r="K114" s="33">
        <f t="shared" si="10"/>
        <v>0.52600000000000002</v>
      </c>
      <c r="L114" s="33">
        <v>0.43</v>
      </c>
      <c r="M114" s="33">
        <v>4.3999999999999997E-2</v>
      </c>
      <c r="N114" s="34" t="s">
        <v>266</v>
      </c>
      <c r="O114" s="69"/>
      <c r="P114" s="69"/>
      <c r="Q114" s="8">
        <f t="shared" si="7"/>
        <v>12.062338983050845</v>
      </c>
      <c r="R114" s="8">
        <f t="shared" si="8"/>
        <v>9.8608474576271163</v>
      </c>
      <c r="S114" s="8">
        <f t="shared" si="9"/>
        <v>1.009016949152542</v>
      </c>
    </row>
    <row r="115" spans="1:19" x14ac:dyDescent="0.25">
      <c r="A115" s="10" t="s">
        <v>117</v>
      </c>
      <c r="B115" s="3">
        <v>3030</v>
      </c>
      <c r="C115" s="1" t="s">
        <v>14</v>
      </c>
      <c r="D115" s="3" t="s">
        <v>82</v>
      </c>
      <c r="E115" s="3" t="s">
        <v>20</v>
      </c>
      <c r="F115" s="3" t="s">
        <v>21</v>
      </c>
      <c r="G115" s="3" t="s">
        <v>12</v>
      </c>
      <c r="H115" s="3">
        <v>80</v>
      </c>
      <c r="I115" s="32">
        <f t="shared" si="15"/>
        <v>0.73499999999999999</v>
      </c>
      <c r="J115" s="33">
        <v>0.26500000000000001</v>
      </c>
      <c r="K115" s="33">
        <f t="shared" si="10"/>
        <v>0.94153846153846155</v>
      </c>
      <c r="L115" s="33">
        <v>0.02</v>
      </c>
      <c r="M115" s="35">
        <v>3.8461538461538464E-2</v>
      </c>
      <c r="N115" s="34" t="s">
        <v>6</v>
      </c>
      <c r="O115" s="69"/>
      <c r="P115" s="69"/>
      <c r="Q115" s="8">
        <f t="shared" si="7"/>
        <v>11.202386185243331</v>
      </c>
      <c r="R115" s="8">
        <f t="shared" si="8"/>
        <v>0.23795918367346944</v>
      </c>
      <c r="S115" s="8">
        <f t="shared" si="9"/>
        <v>0.45761381475667201</v>
      </c>
    </row>
    <row r="116" spans="1:19" x14ac:dyDescent="0.25">
      <c r="A116" s="1" t="s">
        <v>331</v>
      </c>
      <c r="B116" s="3">
        <v>3030</v>
      </c>
      <c r="C116" s="1" t="s">
        <v>14</v>
      </c>
      <c r="D116" s="3" t="s">
        <v>82</v>
      </c>
      <c r="E116" s="3" t="s">
        <v>20</v>
      </c>
      <c r="F116" s="3" t="s">
        <v>21</v>
      </c>
      <c r="G116" s="3" t="s">
        <v>259</v>
      </c>
      <c r="H116" s="3">
        <v>80</v>
      </c>
      <c r="I116" s="32">
        <f t="shared" si="15"/>
        <v>0.8</v>
      </c>
      <c r="J116" s="33">
        <v>0.2</v>
      </c>
      <c r="K116" s="33">
        <f t="shared" si="10"/>
        <v>0.95014925373134329</v>
      </c>
      <c r="L116" s="33">
        <v>0.02</v>
      </c>
      <c r="M116" s="33">
        <v>2.9850746268656716E-2</v>
      </c>
      <c r="N116" s="34" t="s">
        <v>6</v>
      </c>
      <c r="O116" s="69"/>
      <c r="P116" s="69"/>
      <c r="Q116" s="8">
        <f t="shared" si="7"/>
        <v>7.8387313432835821</v>
      </c>
      <c r="R116" s="8">
        <f t="shared" si="8"/>
        <v>0.16500000000000001</v>
      </c>
      <c r="S116" s="8">
        <f t="shared" si="9"/>
        <v>0.2462686567164179</v>
      </c>
    </row>
    <row r="117" spans="1:19" x14ac:dyDescent="0.25">
      <c r="A117" s="26" t="s">
        <v>118</v>
      </c>
      <c r="B117" s="1">
        <v>5050</v>
      </c>
      <c r="C117" s="1" t="s">
        <v>14</v>
      </c>
      <c r="D117" s="3" t="s">
        <v>82</v>
      </c>
      <c r="E117" s="1" t="s">
        <v>27</v>
      </c>
      <c r="F117" s="1" t="s">
        <v>28</v>
      </c>
      <c r="G117" s="1" t="s">
        <v>5</v>
      </c>
      <c r="H117" s="3">
        <v>80</v>
      </c>
      <c r="I117" s="11">
        <f t="shared" si="15"/>
        <v>0.65</v>
      </c>
      <c r="J117" s="12">
        <v>0.35</v>
      </c>
      <c r="K117" s="12">
        <f t="shared" si="10"/>
        <v>0.89500000000000002</v>
      </c>
      <c r="L117" s="13">
        <v>0.02</v>
      </c>
      <c r="M117" s="13">
        <v>8.5000000000000006E-2</v>
      </c>
      <c r="N117" s="6" t="s">
        <v>6</v>
      </c>
      <c r="O117" s="69"/>
      <c r="P117" s="69"/>
      <c r="Q117" s="8">
        <f t="shared" si="7"/>
        <v>15.903461538461537</v>
      </c>
      <c r="R117" s="8">
        <f t="shared" si="8"/>
        <v>0.35538461538461535</v>
      </c>
      <c r="S117" s="8">
        <f t="shared" si="9"/>
        <v>1.5103846153846152</v>
      </c>
    </row>
    <row r="118" spans="1:19" x14ac:dyDescent="0.25">
      <c r="A118" s="26" t="s">
        <v>119</v>
      </c>
      <c r="B118" s="1">
        <v>5050</v>
      </c>
      <c r="C118" s="1" t="s">
        <v>14</v>
      </c>
      <c r="D118" s="3" t="s">
        <v>82</v>
      </c>
      <c r="E118" s="1" t="s">
        <v>27</v>
      </c>
      <c r="F118" s="1" t="s">
        <v>28</v>
      </c>
      <c r="G118" s="1" t="s">
        <v>8</v>
      </c>
      <c r="H118" s="3">
        <v>80</v>
      </c>
      <c r="I118" s="11">
        <f>100%-J118</f>
        <v>0.68599999999999994</v>
      </c>
      <c r="J118" s="12">
        <v>0.314</v>
      </c>
      <c r="K118" s="12">
        <f t="shared" si="10"/>
        <v>0.90700000000000003</v>
      </c>
      <c r="L118" s="13">
        <v>0.02</v>
      </c>
      <c r="M118" s="13">
        <v>7.2999999999999995E-2</v>
      </c>
      <c r="N118" s="6" t="s">
        <v>6</v>
      </c>
      <c r="O118" s="69"/>
      <c r="P118" s="69"/>
      <c r="Q118" s="8">
        <f t="shared" si="7"/>
        <v>13.70019533527697</v>
      </c>
      <c r="R118" s="8">
        <f t="shared" si="8"/>
        <v>0.30209912536443151</v>
      </c>
      <c r="S118" s="8">
        <f t="shared" si="9"/>
        <v>1.1026618075801751</v>
      </c>
    </row>
    <row r="119" spans="1:19" x14ac:dyDescent="0.25">
      <c r="A119" s="26" t="s">
        <v>120</v>
      </c>
      <c r="B119" s="2">
        <v>5050</v>
      </c>
      <c r="C119" s="1" t="s">
        <v>14</v>
      </c>
      <c r="D119" s="3" t="s">
        <v>82</v>
      </c>
      <c r="E119" s="2" t="s">
        <v>27</v>
      </c>
      <c r="F119" s="2" t="s">
        <v>28</v>
      </c>
      <c r="G119" s="2" t="s">
        <v>10</v>
      </c>
      <c r="H119" s="3">
        <v>80</v>
      </c>
      <c r="I119" s="4">
        <f>100%-J119</f>
        <v>0.77</v>
      </c>
      <c r="J119" s="9">
        <v>0.23</v>
      </c>
      <c r="K119" s="5">
        <f t="shared" si="10"/>
        <v>0.92399999999999993</v>
      </c>
      <c r="L119" s="24">
        <v>0.02</v>
      </c>
      <c r="M119" s="24">
        <v>5.6000000000000001E-2</v>
      </c>
      <c r="N119" s="6" t="s">
        <v>6</v>
      </c>
      <c r="O119" s="69"/>
      <c r="P119" s="69"/>
      <c r="Q119" s="8">
        <f t="shared" si="7"/>
        <v>9.1080000000000005</v>
      </c>
      <c r="R119" s="8">
        <f t="shared" si="8"/>
        <v>0.19714285714285715</v>
      </c>
      <c r="S119" s="8">
        <f t="shared" si="9"/>
        <v>0.55200000000000005</v>
      </c>
    </row>
    <row r="120" spans="1:19" x14ac:dyDescent="0.25">
      <c r="A120" s="26" t="s">
        <v>121</v>
      </c>
      <c r="B120" s="27">
        <v>5050</v>
      </c>
      <c r="C120" s="1" t="s">
        <v>14</v>
      </c>
      <c r="D120" s="3" t="s">
        <v>82</v>
      </c>
      <c r="E120" s="27" t="s">
        <v>27</v>
      </c>
      <c r="F120" s="27" t="s">
        <v>28</v>
      </c>
      <c r="G120" s="27" t="s">
        <v>12</v>
      </c>
      <c r="H120" s="3">
        <v>80</v>
      </c>
      <c r="I120" s="28">
        <f>100%-J120</f>
        <v>0.72499999999999998</v>
      </c>
      <c r="J120" s="29">
        <v>0.27500000000000002</v>
      </c>
      <c r="K120" s="29">
        <f t="shared" si="10"/>
        <v>0.56030000000000002</v>
      </c>
      <c r="L120" s="30">
        <v>0.4</v>
      </c>
      <c r="M120" s="30">
        <v>3.9699999999999999E-2</v>
      </c>
      <c r="N120" s="31" t="s">
        <v>266</v>
      </c>
      <c r="O120" s="69"/>
      <c r="P120" s="69"/>
      <c r="Q120" s="8">
        <f t="shared" si="7"/>
        <v>7.0134103448275873</v>
      </c>
      <c r="R120" s="8">
        <f t="shared" si="8"/>
        <v>5.0068965517241395</v>
      </c>
      <c r="S120" s="8">
        <f t="shared" si="9"/>
        <v>0.49693448275862079</v>
      </c>
    </row>
    <row r="121" spans="1:19" x14ac:dyDescent="0.25">
      <c r="A121" s="26" t="s">
        <v>332</v>
      </c>
      <c r="B121" s="3">
        <v>5050</v>
      </c>
      <c r="C121" s="1" t="s">
        <v>14</v>
      </c>
      <c r="D121" s="3" t="s">
        <v>82</v>
      </c>
      <c r="E121" s="3" t="s">
        <v>27</v>
      </c>
      <c r="F121" s="3" t="s">
        <v>28</v>
      </c>
      <c r="G121" s="3" t="s">
        <v>259</v>
      </c>
      <c r="H121" s="3">
        <v>80</v>
      </c>
      <c r="I121" s="32">
        <f t="shared" ref="I121:I131" si="16">100%-J121</f>
        <v>0.83</v>
      </c>
      <c r="J121" s="33">
        <v>0.17</v>
      </c>
      <c r="K121" s="33">
        <f t="shared" si="10"/>
        <v>0.94774193548387098</v>
      </c>
      <c r="L121" s="36">
        <v>0.02</v>
      </c>
      <c r="M121" s="36">
        <v>3.2258064516129031E-2</v>
      </c>
      <c r="N121" s="34" t="s">
        <v>6</v>
      </c>
      <c r="O121" s="69"/>
      <c r="P121" s="69"/>
      <c r="Q121" s="8">
        <f t="shared" si="7"/>
        <v>6.4058219976680935</v>
      </c>
      <c r="R121" s="8">
        <f t="shared" si="8"/>
        <v>0.1351807228915663</v>
      </c>
      <c r="S121" s="8">
        <f t="shared" si="9"/>
        <v>0.2180334240186553</v>
      </c>
    </row>
    <row r="122" spans="1:19" x14ac:dyDescent="0.25">
      <c r="A122" s="26" t="s">
        <v>122</v>
      </c>
      <c r="B122" s="3">
        <v>5050</v>
      </c>
      <c r="C122" s="1" t="s">
        <v>14</v>
      </c>
      <c r="D122" s="3" t="s">
        <v>82</v>
      </c>
      <c r="E122" s="3" t="s">
        <v>33</v>
      </c>
      <c r="F122" s="3" t="s">
        <v>34</v>
      </c>
      <c r="G122" s="3" t="s">
        <v>5</v>
      </c>
      <c r="H122" s="3">
        <v>80</v>
      </c>
      <c r="I122" s="32">
        <f t="shared" si="16"/>
        <v>0.55000000000000004</v>
      </c>
      <c r="J122" s="33">
        <v>0.45</v>
      </c>
      <c r="K122" s="33">
        <f t="shared" si="10"/>
        <v>0.91749999999999998</v>
      </c>
      <c r="L122" s="33">
        <v>0.02</v>
      </c>
      <c r="M122" s="33">
        <v>6.25E-2</v>
      </c>
      <c r="N122" s="34" t="s">
        <v>6</v>
      </c>
      <c r="O122" s="69"/>
      <c r="P122" s="69"/>
      <c r="Q122" s="8">
        <f t="shared" si="7"/>
        <v>24.772499999999997</v>
      </c>
      <c r="R122" s="8">
        <f t="shared" si="8"/>
        <v>0.53999999999999992</v>
      </c>
      <c r="S122" s="8">
        <f t="shared" si="9"/>
        <v>1.6874999999999998</v>
      </c>
    </row>
    <row r="123" spans="1:19" x14ac:dyDescent="0.25">
      <c r="A123" s="26" t="s">
        <v>123</v>
      </c>
      <c r="B123" s="3">
        <v>5050</v>
      </c>
      <c r="C123" s="1" t="s">
        <v>14</v>
      </c>
      <c r="D123" s="3" t="s">
        <v>82</v>
      </c>
      <c r="E123" s="3" t="s">
        <v>33</v>
      </c>
      <c r="F123" s="3" t="s">
        <v>36</v>
      </c>
      <c r="G123" s="3" t="s">
        <v>5</v>
      </c>
      <c r="H123" s="3">
        <v>80</v>
      </c>
      <c r="I123" s="32">
        <f t="shared" si="16"/>
        <v>0.55000000000000004</v>
      </c>
      <c r="J123" s="33">
        <v>0.45</v>
      </c>
      <c r="K123" s="33">
        <f t="shared" si="10"/>
        <v>0.91749999999999998</v>
      </c>
      <c r="L123" s="33">
        <v>0.02</v>
      </c>
      <c r="M123" s="33">
        <v>6.25E-2</v>
      </c>
      <c r="N123" s="34" t="s">
        <v>6</v>
      </c>
      <c r="O123" s="69"/>
      <c r="P123" s="69"/>
      <c r="Q123" s="8">
        <f t="shared" si="7"/>
        <v>24.772499999999997</v>
      </c>
      <c r="R123" s="8">
        <f t="shared" si="8"/>
        <v>0.53999999999999992</v>
      </c>
      <c r="S123" s="8">
        <f t="shared" si="9"/>
        <v>1.6874999999999998</v>
      </c>
    </row>
    <row r="124" spans="1:19" x14ac:dyDescent="0.25">
      <c r="A124" s="26" t="s">
        <v>124</v>
      </c>
      <c r="B124" s="2">
        <v>5050</v>
      </c>
      <c r="C124" s="1" t="s">
        <v>14</v>
      </c>
      <c r="D124" s="3" t="s">
        <v>82</v>
      </c>
      <c r="E124" s="2" t="s">
        <v>33</v>
      </c>
      <c r="F124" s="2" t="s">
        <v>34</v>
      </c>
      <c r="G124" s="2" t="s">
        <v>8</v>
      </c>
      <c r="H124" s="3">
        <v>80</v>
      </c>
      <c r="I124" s="4">
        <f t="shared" si="16"/>
        <v>0.57000000000000006</v>
      </c>
      <c r="J124" s="5">
        <v>0.43</v>
      </c>
      <c r="K124" s="5">
        <f t="shared" si="10"/>
        <v>0.92620000000000002</v>
      </c>
      <c r="L124" s="5">
        <v>1.9999999999999997E-2</v>
      </c>
      <c r="M124" s="5">
        <v>5.3800000000000001E-2</v>
      </c>
      <c r="N124" s="6" t="s">
        <v>6</v>
      </c>
      <c r="O124" s="69"/>
      <c r="P124" s="69"/>
      <c r="Q124" s="8">
        <f t="shared" si="7"/>
        <v>23.057505263157893</v>
      </c>
      <c r="R124" s="8">
        <f t="shared" si="8"/>
        <v>0.49789473684210511</v>
      </c>
      <c r="S124" s="8">
        <f t="shared" si="9"/>
        <v>1.3393368421052629</v>
      </c>
    </row>
    <row r="125" spans="1:19" x14ac:dyDescent="0.25">
      <c r="A125" s="26" t="s">
        <v>125</v>
      </c>
      <c r="B125" s="2">
        <v>5050</v>
      </c>
      <c r="C125" s="1" t="s">
        <v>14</v>
      </c>
      <c r="D125" s="3" t="s">
        <v>82</v>
      </c>
      <c r="E125" s="2" t="s">
        <v>33</v>
      </c>
      <c r="F125" s="2" t="s">
        <v>36</v>
      </c>
      <c r="G125" s="2" t="s">
        <v>8</v>
      </c>
      <c r="H125" s="3">
        <v>80</v>
      </c>
      <c r="I125" s="4">
        <f t="shared" si="16"/>
        <v>0.57000000000000006</v>
      </c>
      <c r="J125" s="5">
        <v>0.43</v>
      </c>
      <c r="K125" s="5">
        <f t="shared" si="10"/>
        <v>0.92620000000000002</v>
      </c>
      <c r="L125" s="5">
        <v>1.9999999999999997E-2</v>
      </c>
      <c r="M125" s="5">
        <v>5.3800000000000001E-2</v>
      </c>
      <c r="N125" s="6" t="s">
        <v>6</v>
      </c>
      <c r="O125" s="69"/>
      <c r="P125" s="69"/>
      <c r="Q125" s="8">
        <f t="shared" si="7"/>
        <v>23.057505263157893</v>
      </c>
      <c r="R125" s="8">
        <f t="shared" si="8"/>
        <v>0.49789473684210511</v>
      </c>
      <c r="S125" s="8">
        <f t="shared" si="9"/>
        <v>1.3393368421052629</v>
      </c>
    </row>
    <row r="126" spans="1:19" x14ac:dyDescent="0.25">
      <c r="A126" s="26" t="s">
        <v>126</v>
      </c>
      <c r="B126" s="3">
        <v>5050</v>
      </c>
      <c r="C126" s="1" t="s">
        <v>14</v>
      </c>
      <c r="D126" s="3" t="s">
        <v>82</v>
      </c>
      <c r="E126" s="3" t="s">
        <v>33</v>
      </c>
      <c r="F126" s="3" t="s">
        <v>34</v>
      </c>
      <c r="G126" s="3" t="s">
        <v>10</v>
      </c>
      <c r="H126" s="3">
        <v>80</v>
      </c>
      <c r="I126" s="32">
        <f t="shared" si="16"/>
        <v>0.7</v>
      </c>
      <c r="J126" s="35">
        <v>0.3</v>
      </c>
      <c r="K126" s="33">
        <f t="shared" si="10"/>
        <v>0.93555555555555558</v>
      </c>
      <c r="L126" s="35">
        <v>0.02</v>
      </c>
      <c r="M126" s="35">
        <v>4.4444444444444446E-2</v>
      </c>
      <c r="N126" s="34" t="s">
        <v>6</v>
      </c>
      <c r="O126" s="69"/>
      <c r="P126" s="69"/>
      <c r="Q126" s="8">
        <f t="shared" si="7"/>
        <v>13.231428571428573</v>
      </c>
      <c r="R126" s="8">
        <f t="shared" si="8"/>
        <v>0.28285714285714286</v>
      </c>
      <c r="S126" s="8">
        <f t="shared" si="9"/>
        <v>0.62857142857142867</v>
      </c>
    </row>
    <row r="127" spans="1:19" x14ac:dyDescent="0.25">
      <c r="A127" s="26" t="s">
        <v>127</v>
      </c>
      <c r="B127" s="3">
        <v>5050</v>
      </c>
      <c r="C127" s="1" t="s">
        <v>14</v>
      </c>
      <c r="D127" s="3" t="s">
        <v>82</v>
      </c>
      <c r="E127" s="3" t="s">
        <v>33</v>
      </c>
      <c r="F127" s="3" t="s">
        <v>36</v>
      </c>
      <c r="G127" s="3" t="s">
        <v>10</v>
      </c>
      <c r="H127" s="3">
        <v>80</v>
      </c>
      <c r="I127" s="32">
        <f t="shared" si="16"/>
        <v>0.65999999999999992</v>
      </c>
      <c r="J127" s="35">
        <v>0.34</v>
      </c>
      <c r="K127" s="33">
        <f t="shared" si="10"/>
        <v>0.89799999999999991</v>
      </c>
      <c r="L127" s="35">
        <v>0.05</v>
      </c>
      <c r="M127" s="35">
        <v>5.1999999999999998E-2</v>
      </c>
      <c r="N127" s="34" t="s">
        <v>24</v>
      </c>
      <c r="O127" s="69"/>
      <c r="P127" s="69"/>
      <c r="Q127" s="8">
        <f t="shared" si="7"/>
        <v>15.266000000000002</v>
      </c>
      <c r="R127" s="8">
        <f t="shared" si="8"/>
        <v>0.8500000000000002</v>
      </c>
      <c r="S127" s="8">
        <f t="shared" si="9"/>
        <v>0.88400000000000012</v>
      </c>
    </row>
    <row r="128" spans="1:19" x14ac:dyDescent="0.25">
      <c r="A128" s="26" t="s">
        <v>128</v>
      </c>
      <c r="B128" s="2">
        <v>5050</v>
      </c>
      <c r="C128" s="1" t="s">
        <v>14</v>
      </c>
      <c r="D128" s="3" t="s">
        <v>82</v>
      </c>
      <c r="E128" s="2" t="s">
        <v>33</v>
      </c>
      <c r="F128" s="2" t="s">
        <v>36</v>
      </c>
      <c r="G128" s="2" t="s">
        <v>12</v>
      </c>
      <c r="H128" s="3">
        <v>80</v>
      </c>
      <c r="I128" s="4">
        <f t="shared" si="16"/>
        <v>0.71</v>
      </c>
      <c r="J128" s="5">
        <v>0.28999999999999998</v>
      </c>
      <c r="K128" s="5">
        <f t="shared" si="10"/>
        <v>0.56699999999999995</v>
      </c>
      <c r="L128" s="9">
        <v>0.4</v>
      </c>
      <c r="M128" s="9">
        <v>3.3000000000000002E-2</v>
      </c>
      <c r="N128" s="6" t="s">
        <v>44</v>
      </c>
      <c r="O128" s="69"/>
      <c r="P128" s="69"/>
      <c r="Q128" s="8">
        <f t="shared" si="7"/>
        <v>7.6425211267605624</v>
      </c>
      <c r="R128" s="8">
        <f t="shared" si="8"/>
        <v>5.3915492957746487</v>
      </c>
      <c r="S128" s="8">
        <f t="shared" si="9"/>
        <v>0.44480281690140849</v>
      </c>
    </row>
    <row r="129" spans="1:19" x14ac:dyDescent="0.25">
      <c r="A129" s="26" t="s">
        <v>129</v>
      </c>
      <c r="B129" s="2">
        <v>5050</v>
      </c>
      <c r="C129" s="1" t="s">
        <v>14</v>
      </c>
      <c r="D129" s="3" t="s">
        <v>82</v>
      </c>
      <c r="E129" s="2" t="s">
        <v>33</v>
      </c>
      <c r="F129" s="2" t="s">
        <v>34</v>
      </c>
      <c r="G129" s="2" t="s">
        <v>12</v>
      </c>
      <c r="H129" s="3">
        <v>80</v>
      </c>
      <c r="I129" s="4">
        <f t="shared" si="16"/>
        <v>0.76500000000000001</v>
      </c>
      <c r="J129" s="5">
        <v>0.23499999999999999</v>
      </c>
      <c r="K129" s="5">
        <f t="shared" si="10"/>
        <v>0.94430000000000003</v>
      </c>
      <c r="L129" s="9">
        <v>0.02</v>
      </c>
      <c r="M129" s="9">
        <v>3.5700000000000003E-2</v>
      </c>
      <c r="N129" s="6" t="s">
        <v>6</v>
      </c>
      <c r="O129" s="69"/>
      <c r="P129" s="69"/>
      <c r="Q129" s="8">
        <f t="shared" si="7"/>
        <v>9.5726098039215675</v>
      </c>
      <c r="R129" s="8">
        <f t="shared" si="8"/>
        <v>0.20274509803921564</v>
      </c>
      <c r="S129" s="8">
        <f t="shared" si="9"/>
        <v>0.36189999999999994</v>
      </c>
    </row>
    <row r="130" spans="1:19" x14ac:dyDescent="0.25">
      <c r="A130" s="26" t="s">
        <v>333</v>
      </c>
      <c r="B130" s="3">
        <v>5050</v>
      </c>
      <c r="C130" s="1" t="s">
        <v>14</v>
      </c>
      <c r="D130" s="3" t="s">
        <v>82</v>
      </c>
      <c r="E130" s="3" t="s">
        <v>33</v>
      </c>
      <c r="F130" s="3" t="s">
        <v>34</v>
      </c>
      <c r="G130" s="3" t="s">
        <v>259</v>
      </c>
      <c r="H130" s="3">
        <v>80</v>
      </c>
      <c r="I130" s="32">
        <f t="shared" si="16"/>
        <v>0.83</v>
      </c>
      <c r="J130" s="33">
        <v>0.17</v>
      </c>
      <c r="K130" s="33">
        <f t="shared" si="10"/>
        <v>0.94774193548387098</v>
      </c>
      <c r="L130" s="33">
        <v>0.02</v>
      </c>
      <c r="M130" s="33">
        <v>3.2258064516129031E-2</v>
      </c>
      <c r="N130" s="34" t="s">
        <v>6</v>
      </c>
      <c r="O130" s="69"/>
      <c r="P130" s="69"/>
      <c r="Q130" s="8">
        <f t="shared" si="7"/>
        <v>6.4058219976680935</v>
      </c>
      <c r="R130" s="8">
        <f t="shared" si="8"/>
        <v>0.1351807228915663</v>
      </c>
      <c r="S130" s="8">
        <f t="shared" si="9"/>
        <v>0.2180334240186553</v>
      </c>
    </row>
    <row r="131" spans="1:19" x14ac:dyDescent="0.25">
      <c r="A131" s="7" t="s">
        <v>334</v>
      </c>
      <c r="B131" s="56">
        <v>5050</v>
      </c>
      <c r="C131" s="1" t="s">
        <v>14</v>
      </c>
      <c r="D131" s="56" t="s">
        <v>82</v>
      </c>
      <c r="E131" s="56" t="s">
        <v>33</v>
      </c>
      <c r="F131" s="56" t="s">
        <v>36</v>
      </c>
      <c r="G131" s="56" t="s">
        <v>259</v>
      </c>
      <c r="H131" s="56">
        <v>80</v>
      </c>
      <c r="I131" s="57">
        <f t="shared" si="16"/>
        <v>0.83</v>
      </c>
      <c r="J131" s="58">
        <v>0.17</v>
      </c>
      <c r="K131" s="58">
        <f t="shared" si="10"/>
        <v>0.94774193548387098</v>
      </c>
      <c r="L131" s="58">
        <v>0.02</v>
      </c>
      <c r="M131" s="58">
        <v>3.2258064516129031E-2</v>
      </c>
      <c r="N131" s="59" t="s">
        <v>6</v>
      </c>
      <c r="O131" s="69"/>
      <c r="P131" s="69"/>
      <c r="Q131" s="8">
        <f t="shared" si="7"/>
        <v>6.4058219976680935</v>
      </c>
      <c r="R131" s="8">
        <f t="shared" si="8"/>
        <v>0.1351807228915663</v>
      </c>
      <c r="S131" s="8">
        <f t="shared" si="9"/>
        <v>0.2180334240186553</v>
      </c>
    </row>
    <row r="132" spans="1:19" x14ac:dyDescent="0.25">
      <c r="A132" s="1" t="s">
        <v>335</v>
      </c>
      <c r="B132" s="2">
        <v>2835</v>
      </c>
      <c r="C132" s="1" t="s">
        <v>1</v>
      </c>
      <c r="D132" s="2" t="s">
        <v>306</v>
      </c>
      <c r="E132" s="2" t="s">
        <v>3</v>
      </c>
      <c r="F132" s="2" t="s">
        <v>4</v>
      </c>
      <c r="G132" s="2" t="s">
        <v>5</v>
      </c>
      <c r="H132" s="3">
        <v>77</v>
      </c>
      <c r="I132" s="4">
        <f>100%-J132</f>
        <v>0.55000000000000004</v>
      </c>
      <c r="J132" s="5">
        <v>0.45</v>
      </c>
      <c r="K132" s="5">
        <f t="shared" si="10"/>
        <v>0.9153</v>
      </c>
      <c r="L132" s="5">
        <v>0.02</v>
      </c>
      <c r="M132" s="5">
        <v>6.4699999999999994E-2</v>
      </c>
      <c r="N132" s="6" t="s">
        <v>6</v>
      </c>
      <c r="O132" s="69"/>
      <c r="P132" s="69"/>
      <c r="Q132" s="8">
        <f t="shared" ref="Q132:Q195" si="17">($O$3+$P$3)/I132*J132*K132</f>
        <v>24.713099999999997</v>
      </c>
      <c r="R132" s="8">
        <f t="shared" ref="R132:R195" si="18">($O$3+$P$3)/I132*J132*L132</f>
        <v>0.53999999999999992</v>
      </c>
      <c r="S132" s="8">
        <f t="shared" ref="S132:S195" si="19">($O$3+$P$3)/I132*J132*M132</f>
        <v>1.7468999999999997</v>
      </c>
    </row>
    <row r="133" spans="1:19" x14ac:dyDescent="0.25">
      <c r="A133" s="1" t="s">
        <v>336</v>
      </c>
      <c r="B133" s="2">
        <v>2835</v>
      </c>
      <c r="C133" s="1" t="s">
        <v>1</v>
      </c>
      <c r="D133" s="2" t="s">
        <v>306</v>
      </c>
      <c r="E133" s="2" t="s">
        <v>3</v>
      </c>
      <c r="F133" s="2" t="s">
        <v>4</v>
      </c>
      <c r="G133" s="2" t="s">
        <v>8</v>
      </c>
      <c r="H133" s="3">
        <v>77</v>
      </c>
      <c r="I133" s="4">
        <f>100%-J133</f>
        <v>0.59000000000000008</v>
      </c>
      <c r="J133" s="5">
        <v>0.41</v>
      </c>
      <c r="K133" s="5">
        <f t="shared" si="10"/>
        <v>0.92449999999999999</v>
      </c>
      <c r="L133" s="5">
        <v>0.02</v>
      </c>
      <c r="M133" s="5">
        <v>5.5500000000000001E-2</v>
      </c>
      <c r="N133" s="6" t="s">
        <v>6</v>
      </c>
      <c r="O133" s="69"/>
      <c r="P133" s="69"/>
      <c r="Q133" s="8">
        <f t="shared" si="17"/>
        <v>21.200822033898298</v>
      </c>
      <c r="R133" s="8">
        <f t="shared" si="18"/>
        <v>0.45864406779661004</v>
      </c>
      <c r="S133" s="8">
        <f t="shared" si="19"/>
        <v>1.2727372881355929</v>
      </c>
    </row>
    <row r="134" spans="1:19" x14ac:dyDescent="0.25">
      <c r="A134" s="1" t="s">
        <v>337</v>
      </c>
      <c r="B134" s="2">
        <v>2835</v>
      </c>
      <c r="C134" s="1" t="s">
        <v>1</v>
      </c>
      <c r="D134" s="2" t="s">
        <v>306</v>
      </c>
      <c r="E134" s="2" t="s">
        <v>3</v>
      </c>
      <c r="F134" s="2" t="s">
        <v>4</v>
      </c>
      <c r="G134" s="2" t="s">
        <v>10</v>
      </c>
      <c r="H134" s="3">
        <v>77</v>
      </c>
      <c r="I134" s="4">
        <f t="shared" ref="I134:I137" si="20">100%-J134</f>
        <v>0.72499999999999998</v>
      </c>
      <c r="J134" s="9">
        <v>0.27500000000000002</v>
      </c>
      <c r="K134" s="5">
        <f t="shared" si="10"/>
        <v>0.93051951219512197</v>
      </c>
      <c r="L134" s="9">
        <v>0.02</v>
      </c>
      <c r="M134" s="9">
        <v>4.9480487804878001E-2</v>
      </c>
      <c r="N134" s="6" t="s">
        <v>6</v>
      </c>
      <c r="O134" s="69"/>
      <c r="P134" s="69"/>
      <c r="Q134" s="8">
        <f t="shared" si="17"/>
        <v>11.64753734230446</v>
      </c>
      <c r="R134" s="8">
        <f t="shared" si="18"/>
        <v>0.25034482758620696</v>
      </c>
      <c r="S134" s="8">
        <f t="shared" si="19"/>
        <v>0.61935920941967992</v>
      </c>
    </row>
    <row r="135" spans="1:19" x14ac:dyDescent="0.25">
      <c r="A135" s="10" t="s">
        <v>338</v>
      </c>
      <c r="B135" s="2">
        <v>2835</v>
      </c>
      <c r="C135" s="1" t="s">
        <v>1</v>
      </c>
      <c r="D135" s="2" t="s">
        <v>306</v>
      </c>
      <c r="E135" s="2" t="s">
        <v>3</v>
      </c>
      <c r="F135" s="2" t="s">
        <v>4</v>
      </c>
      <c r="G135" s="2" t="s">
        <v>12</v>
      </c>
      <c r="H135" s="3">
        <v>77</v>
      </c>
      <c r="I135" s="4">
        <f t="shared" si="20"/>
        <v>0.76500000000000001</v>
      </c>
      <c r="J135" s="9">
        <v>0.23499999999999999</v>
      </c>
      <c r="K135" s="5">
        <f t="shared" ref="K135:K198" si="21">100%-L135-M135</f>
        <v>0.94299999999999995</v>
      </c>
      <c r="L135" s="9">
        <v>0.02</v>
      </c>
      <c r="M135" s="9">
        <v>3.6999999999999998E-2</v>
      </c>
      <c r="N135" s="6" t="s">
        <v>6</v>
      </c>
      <c r="O135" s="69"/>
      <c r="P135" s="69"/>
      <c r="Q135" s="8">
        <f t="shared" si="17"/>
        <v>9.5594313725490174</v>
      </c>
      <c r="R135" s="8">
        <f t="shared" si="18"/>
        <v>0.20274509803921564</v>
      </c>
      <c r="S135" s="8">
        <f t="shared" si="19"/>
        <v>0.37507843137254893</v>
      </c>
    </row>
    <row r="136" spans="1:19" x14ac:dyDescent="0.25">
      <c r="A136" s="1" t="s">
        <v>339</v>
      </c>
      <c r="B136" s="3">
        <v>2835</v>
      </c>
      <c r="C136" s="1" t="s">
        <v>1</v>
      </c>
      <c r="D136" s="3" t="s">
        <v>306</v>
      </c>
      <c r="E136" s="3" t="s">
        <v>3</v>
      </c>
      <c r="F136" s="3" t="s">
        <v>4</v>
      </c>
      <c r="G136" s="3" t="s">
        <v>259</v>
      </c>
      <c r="H136" s="3">
        <v>77</v>
      </c>
      <c r="I136" s="32">
        <f t="shared" si="20"/>
        <v>0.83499999999999996</v>
      </c>
      <c r="J136" s="33">
        <v>0.16500000000000001</v>
      </c>
      <c r="K136" s="33">
        <f t="shared" si="21"/>
        <v>0.94428571428571428</v>
      </c>
      <c r="L136" s="33">
        <v>0.02</v>
      </c>
      <c r="M136" s="33">
        <v>3.5714285714285712E-2</v>
      </c>
      <c r="N136" s="34" t="s">
        <v>6</v>
      </c>
      <c r="O136" s="69"/>
      <c r="P136" s="69"/>
      <c r="Q136" s="8">
        <f t="shared" si="17"/>
        <v>6.1576475620188207</v>
      </c>
      <c r="R136" s="8">
        <f t="shared" si="18"/>
        <v>0.13041916167664674</v>
      </c>
      <c r="S136" s="8">
        <f t="shared" si="19"/>
        <v>0.23289136013686917</v>
      </c>
    </row>
    <row r="137" spans="1:19" x14ac:dyDescent="0.25">
      <c r="A137" s="1" t="s">
        <v>340</v>
      </c>
      <c r="B137" s="1">
        <v>3030</v>
      </c>
      <c r="C137" s="1" t="s">
        <v>14</v>
      </c>
      <c r="D137" s="1" t="s">
        <v>15</v>
      </c>
      <c r="E137" s="1" t="s">
        <v>3</v>
      </c>
      <c r="F137" s="1" t="s">
        <v>4</v>
      </c>
      <c r="G137" s="1" t="s">
        <v>5</v>
      </c>
      <c r="H137" s="3">
        <v>77</v>
      </c>
      <c r="I137" s="11">
        <f t="shared" si="20"/>
        <v>0.63</v>
      </c>
      <c r="J137" s="12">
        <v>0.37</v>
      </c>
      <c r="K137" s="12">
        <f t="shared" si="21"/>
        <v>0.89304347826086961</v>
      </c>
      <c r="L137" s="13">
        <v>0.02</v>
      </c>
      <c r="M137" s="13">
        <v>8.6956521739130432E-2</v>
      </c>
      <c r="N137" s="6" t="s">
        <v>6</v>
      </c>
      <c r="O137" s="69"/>
      <c r="P137" s="69"/>
      <c r="Q137" s="8">
        <f t="shared" si="17"/>
        <v>17.308033126293996</v>
      </c>
      <c r="R137" s="8">
        <f t="shared" si="18"/>
        <v>0.38761904761904759</v>
      </c>
      <c r="S137" s="8">
        <f t="shared" si="19"/>
        <v>1.6853002070393373</v>
      </c>
    </row>
    <row r="138" spans="1:19" s="55" customFormat="1" x14ac:dyDescent="0.25">
      <c r="A138" s="1" t="s">
        <v>341</v>
      </c>
      <c r="B138" s="14">
        <v>3030</v>
      </c>
      <c r="C138" s="1" t="s">
        <v>14</v>
      </c>
      <c r="D138" s="14" t="s">
        <v>15</v>
      </c>
      <c r="E138" s="14" t="s">
        <v>3</v>
      </c>
      <c r="F138" s="14" t="s">
        <v>4</v>
      </c>
      <c r="G138" s="14" t="s">
        <v>8</v>
      </c>
      <c r="H138" s="3">
        <v>77</v>
      </c>
      <c r="I138" s="15">
        <f>100%-J138</f>
        <v>0.62</v>
      </c>
      <c r="J138" s="16">
        <v>0.38</v>
      </c>
      <c r="K138" s="16">
        <f t="shared" si="21"/>
        <v>0.91500000000000004</v>
      </c>
      <c r="L138" s="17">
        <v>0.02</v>
      </c>
      <c r="M138" s="17">
        <v>6.5000000000000002E-2</v>
      </c>
      <c r="N138" s="18" t="s">
        <v>6</v>
      </c>
      <c r="O138" s="69"/>
      <c r="P138" s="69"/>
      <c r="Q138" s="8">
        <f t="shared" si="17"/>
        <v>18.506612903225808</v>
      </c>
      <c r="R138" s="8">
        <f t="shared" si="18"/>
        <v>0.40451612903225809</v>
      </c>
      <c r="S138" s="8">
        <f t="shared" si="19"/>
        <v>1.3146774193548387</v>
      </c>
    </row>
    <row r="139" spans="1:19" x14ac:dyDescent="0.25">
      <c r="A139" s="1" t="s">
        <v>342</v>
      </c>
      <c r="B139" s="19">
        <v>3030</v>
      </c>
      <c r="C139" s="1" t="s">
        <v>14</v>
      </c>
      <c r="D139" s="19" t="s">
        <v>15</v>
      </c>
      <c r="E139" s="19" t="s">
        <v>3</v>
      </c>
      <c r="F139" s="19" t="s">
        <v>4</v>
      </c>
      <c r="G139" s="19" t="s">
        <v>10</v>
      </c>
      <c r="H139" s="3">
        <v>77</v>
      </c>
      <c r="I139" s="20">
        <f t="shared" ref="I139:I147" si="22">100%-J139</f>
        <v>0.73</v>
      </c>
      <c r="J139" s="16">
        <v>0.27</v>
      </c>
      <c r="K139" s="21">
        <f t="shared" si="21"/>
        <v>0.92699999999999994</v>
      </c>
      <c r="L139" s="22">
        <v>0.02</v>
      </c>
      <c r="M139" s="22">
        <v>5.2999999999999999E-2</v>
      </c>
      <c r="N139" s="18" t="s">
        <v>6</v>
      </c>
      <c r="O139" s="69"/>
      <c r="P139" s="69"/>
      <c r="Q139" s="8">
        <f t="shared" si="17"/>
        <v>11.314479452054796</v>
      </c>
      <c r="R139" s="8">
        <f t="shared" si="18"/>
        <v>0.24410958904109592</v>
      </c>
      <c r="S139" s="8">
        <f t="shared" si="19"/>
        <v>0.64689041095890421</v>
      </c>
    </row>
    <row r="140" spans="1:19" x14ac:dyDescent="0.25">
      <c r="A140" s="1" t="s">
        <v>343</v>
      </c>
      <c r="B140" s="2">
        <v>3030</v>
      </c>
      <c r="C140" s="1" t="s">
        <v>14</v>
      </c>
      <c r="D140" s="2" t="s">
        <v>15</v>
      </c>
      <c r="E140" s="2" t="s">
        <v>3</v>
      </c>
      <c r="F140" s="2" t="s">
        <v>4</v>
      </c>
      <c r="G140" s="23" t="s">
        <v>12</v>
      </c>
      <c r="H140" s="3">
        <v>77</v>
      </c>
      <c r="I140" s="4">
        <f t="shared" si="22"/>
        <v>0.78500000000000003</v>
      </c>
      <c r="J140" s="9">
        <v>0.215</v>
      </c>
      <c r="K140" s="5">
        <f t="shared" si="21"/>
        <v>0.93652173913043479</v>
      </c>
      <c r="L140" s="24">
        <v>0.02</v>
      </c>
      <c r="M140" s="24">
        <v>4.3478260869565216E-2</v>
      </c>
      <c r="N140" s="6" t="s">
        <v>6</v>
      </c>
      <c r="O140" s="69"/>
      <c r="P140" s="69"/>
      <c r="Q140" s="8">
        <f t="shared" si="17"/>
        <v>8.4644862918859047</v>
      </c>
      <c r="R140" s="8">
        <f t="shared" si="18"/>
        <v>0.18076433121019109</v>
      </c>
      <c r="S140" s="8">
        <f t="shared" si="19"/>
        <v>0.39296593741345887</v>
      </c>
    </row>
    <row r="141" spans="1:19" x14ac:dyDescent="0.25">
      <c r="A141" s="1" t="s">
        <v>344</v>
      </c>
      <c r="B141" s="3">
        <v>3030</v>
      </c>
      <c r="C141" s="1" t="s">
        <v>14</v>
      </c>
      <c r="D141" s="3" t="s">
        <v>15</v>
      </c>
      <c r="E141" s="3" t="s">
        <v>3</v>
      </c>
      <c r="F141" s="3" t="s">
        <v>4</v>
      </c>
      <c r="G141" s="3" t="s">
        <v>259</v>
      </c>
      <c r="H141" s="3">
        <v>77</v>
      </c>
      <c r="I141" s="32">
        <f t="shared" si="22"/>
        <v>0.8</v>
      </c>
      <c r="J141" s="33">
        <v>0.2</v>
      </c>
      <c r="K141" s="33">
        <f t="shared" si="21"/>
        <v>0.95014925373134329</v>
      </c>
      <c r="L141" s="36">
        <v>0.02</v>
      </c>
      <c r="M141" s="36">
        <v>2.9850746268656716E-2</v>
      </c>
      <c r="N141" s="34" t="s">
        <v>6</v>
      </c>
      <c r="O141" s="69"/>
      <c r="P141" s="69"/>
      <c r="Q141" s="8">
        <f t="shared" si="17"/>
        <v>7.8387313432835821</v>
      </c>
      <c r="R141" s="8">
        <f t="shared" si="18"/>
        <v>0.16500000000000001</v>
      </c>
      <c r="S141" s="8">
        <f t="shared" si="19"/>
        <v>0.2462686567164179</v>
      </c>
    </row>
    <row r="142" spans="1:19" x14ac:dyDescent="0.25">
      <c r="A142" s="1" t="s">
        <v>345</v>
      </c>
      <c r="B142" s="19">
        <v>3030</v>
      </c>
      <c r="C142" s="1" t="s">
        <v>14</v>
      </c>
      <c r="D142" s="19" t="s">
        <v>15</v>
      </c>
      <c r="E142" s="19" t="s">
        <v>20</v>
      </c>
      <c r="F142" s="19" t="s">
        <v>21</v>
      </c>
      <c r="G142" s="19" t="s">
        <v>5</v>
      </c>
      <c r="H142" s="3">
        <v>77</v>
      </c>
      <c r="I142" s="20">
        <f t="shared" si="22"/>
        <v>0.62</v>
      </c>
      <c r="J142" s="21">
        <v>0.38</v>
      </c>
      <c r="K142" s="21">
        <f t="shared" si="21"/>
        <v>0.89</v>
      </c>
      <c r="L142" s="25">
        <v>1.9999999999999997E-2</v>
      </c>
      <c r="M142" s="25">
        <v>0.09</v>
      </c>
      <c r="N142" s="18" t="s">
        <v>6</v>
      </c>
      <c r="O142" s="69"/>
      <c r="P142" s="69"/>
      <c r="Q142" s="8">
        <f t="shared" si="17"/>
        <v>18.000967741935483</v>
      </c>
      <c r="R142" s="8">
        <f t="shared" si="18"/>
        <v>0.40451612903225803</v>
      </c>
      <c r="S142" s="8">
        <f t="shared" si="19"/>
        <v>1.8203225806451613</v>
      </c>
    </row>
    <row r="143" spans="1:19" x14ac:dyDescent="0.25">
      <c r="A143" s="1" t="s">
        <v>346</v>
      </c>
      <c r="B143" s="2">
        <v>3030</v>
      </c>
      <c r="C143" s="1" t="s">
        <v>14</v>
      </c>
      <c r="D143" s="2" t="s">
        <v>15</v>
      </c>
      <c r="E143" s="2" t="s">
        <v>20</v>
      </c>
      <c r="F143" s="2" t="s">
        <v>21</v>
      </c>
      <c r="G143" s="2" t="s">
        <v>8</v>
      </c>
      <c r="H143" s="3">
        <v>77</v>
      </c>
      <c r="I143" s="4">
        <f t="shared" si="22"/>
        <v>0.65500000000000003</v>
      </c>
      <c r="J143" s="5">
        <v>0.34499999999999997</v>
      </c>
      <c r="K143" s="5">
        <f t="shared" si="21"/>
        <v>0.92999999999999994</v>
      </c>
      <c r="L143" s="5">
        <v>5.0000000000000001E-3</v>
      </c>
      <c r="M143" s="5">
        <v>6.5000000000000002E-2</v>
      </c>
      <c r="N143" s="6" t="s">
        <v>24</v>
      </c>
      <c r="O143" s="69"/>
      <c r="P143" s="69"/>
      <c r="Q143" s="8">
        <f t="shared" si="17"/>
        <v>16.164961832061067</v>
      </c>
      <c r="R143" s="8">
        <f t="shared" si="18"/>
        <v>8.6908396946564881E-2</v>
      </c>
      <c r="S143" s="8">
        <f t="shared" si="19"/>
        <v>1.1298091603053435</v>
      </c>
    </row>
    <row r="144" spans="1:19" x14ac:dyDescent="0.25">
      <c r="A144" s="1" t="s">
        <v>347</v>
      </c>
      <c r="B144" s="19">
        <v>3030</v>
      </c>
      <c r="C144" s="1" t="s">
        <v>14</v>
      </c>
      <c r="D144" s="19" t="s">
        <v>15</v>
      </c>
      <c r="E144" s="19" t="s">
        <v>20</v>
      </c>
      <c r="F144" s="19" t="s">
        <v>21</v>
      </c>
      <c r="G144" s="19" t="s">
        <v>10</v>
      </c>
      <c r="H144" s="3">
        <v>77</v>
      </c>
      <c r="I144" s="20">
        <f t="shared" si="22"/>
        <v>0.76</v>
      </c>
      <c r="J144" s="16">
        <v>0.24</v>
      </c>
      <c r="K144" s="21">
        <f t="shared" si="21"/>
        <v>0.94399999999999995</v>
      </c>
      <c r="L144" s="22">
        <v>0.02</v>
      </c>
      <c r="M144" s="22">
        <v>3.5999999999999997E-2</v>
      </c>
      <c r="N144" s="18" t="s">
        <v>6</v>
      </c>
      <c r="O144" s="69"/>
      <c r="P144" s="69"/>
      <c r="Q144" s="8">
        <f t="shared" si="17"/>
        <v>9.8374736842105257</v>
      </c>
      <c r="R144" s="8">
        <f t="shared" si="18"/>
        <v>0.20842105263157895</v>
      </c>
      <c r="S144" s="8">
        <f t="shared" si="19"/>
        <v>0.37515789473684208</v>
      </c>
    </row>
    <row r="145" spans="1:19" x14ac:dyDescent="0.25">
      <c r="A145" s="1" t="s">
        <v>348</v>
      </c>
      <c r="B145" s="19">
        <v>3030</v>
      </c>
      <c r="C145" s="1" t="s">
        <v>14</v>
      </c>
      <c r="D145" s="19" t="s">
        <v>15</v>
      </c>
      <c r="E145" s="19" t="s">
        <v>20</v>
      </c>
      <c r="F145" s="19" t="s">
        <v>21</v>
      </c>
      <c r="G145" s="19" t="s">
        <v>12</v>
      </c>
      <c r="H145" s="3">
        <v>77</v>
      </c>
      <c r="I145" s="20">
        <f t="shared" si="22"/>
        <v>0.79500000000000004</v>
      </c>
      <c r="J145" s="21">
        <v>0.20499999999999999</v>
      </c>
      <c r="K145" s="21">
        <f t="shared" si="21"/>
        <v>0.92949999999999999</v>
      </c>
      <c r="L145" s="21">
        <v>0.02</v>
      </c>
      <c r="M145" s="21">
        <v>5.0500000000000003E-2</v>
      </c>
      <c r="N145" s="18" t="s">
        <v>6</v>
      </c>
      <c r="O145" s="69"/>
      <c r="P145" s="69"/>
      <c r="Q145" s="8">
        <f t="shared" si="17"/>
        <v>7.9095188679245263</v>
      </c>
      <c r="R145" s="8">
        <f t="shared" si="18"/>
        <v>0.17018867924528297</v>
      </c>
      <c r="S145" s="8">
        <f t="shared" si="19"/>
        <v>0.42972641509433956</v>
      </c>
    </row>
    <row r="146" spans="1:19" x14ac:dyDescent="0.25">
      <c r="A146" s="1" t="s">
        <v>349</v>
      </c>
      <c r="B146" s="3">
        <v>3030</v>
      </c>
      <c r="C146" s="1" t="s">
        <v>14</v>
      </c>
      <c r="D146" s="3" t="s">
        <v>15</v>
      </c>
      <c r="E146" s="3" t="s">
        <v>20</v>
      </c>
      <c r="F146" s="3" t="s">
        <v>21</v>
      </c>
      <c r="G146" s="3" t="s">
        <v>259</v>
      </c>
      <c r="H146" s="3">
        <v>77</v>
      </c>
      <c r="I146" s="32">
        <f t="shared" si="22"/>
        <v>0.8</v>
      </c>
      <c r="J146" s="33">
        <v>0.2</v>
      </c>
      <c r="K146" s="33">
        <f t="shared" si="21"/>
        <v>0.95014925373134329</v>
      </c>
      <c r="L146" s="33">
        <v>0.02</v>
      </c>
      <c r="M146" s="33">
        <v>2.9850746268656716E-2</v>
      </c>
      <c r="N146" s="34" t="s">
        <v>6</v>
      </c>
      <c r="O146" s="69"/>
      <c r="P146" s="69"/>
      <c r="Q146" s="8">
        <f t="shared" si="17"/>
        <v>7.8387313432835821</v>
      </c>
      <c r="R146" s="8">
        <f t="shared" si="18"/>
        <v>0.16500000000000001</v>
      </c>
      <c r="S146" s="8">
        <f t="shared" si="19"/>
        <v>0.2462686567164179</v>
      </c>
    </row>
    <row r="147" spans="1:19" x14ac:dyDescent="0.25">
      <c r="A147" s="26" t="s">
        <v>350</v>
      </c>
      <c r="B147" s="1">
        <v>5050</v>
      </c>
      <c r="C147" s="1" t="s">
        <v>14</v>
      </c>
      <c r="D147" s="1" t="s">
        <v>15</v>
      </c>
      <c r="E147" s="1" t="s">
        <v>27</v>
      </c>
      <c r="F147" s="1" t="s">
        <v>28</v>
      </c>
      <c r="G147" s="1" t="s">
        <v>5</v>
      </c>
      <c r="H147" s="3">
        <v>77</v>
      </c>
      <c r="I147" s="11">
        <f t="shared" si="22"/>
        <v>0.65</v>
      </c>
      <c r="J147" s="12">
        <v>0.35</v>
      </c>
      <c r="K147" s="12">
        <f t="shared" si="21"/>
        <v>0.89500000000000002</v>
      </c>
      <c r="L147" s="13">
        <v>0.02</v>
      </c>
      <c r="M147" s="13">
        <v>8.5000000000000006E-2</v>
      </c>
      <c r="N147" s="6" t="s">
        <v>6</v>
      </c>
      <c r="O147" s="69"/>
      <c r="P147" s="69"/>
      <c r="Q147" s="8">
        <f t="shared" si="17"/>
        <v>15.903461538461537</v>
      </c>
      <c r="R147" s="8">
        <f t="shared" si="18"/>
        <v>0.35538461538461535</v>
      </c>
      <c r="S147" s="8">
        <f t="shared" si="19"/>
        <v>1.5103846153846152</v>
      </c>
    </row>
    <row r="148" spans="1:19" x14ac:dyDescent="0.25">
      <c r="A148" s="26" t="s">
        <v>351</v>
      </c>
      <c r="B148" s="1">
        <v>5050</v>
      </c>
      <c r="C148" s="1" t="s">
        <v>14</v>
      </c>
      <c r="D148" s="1" t="s">
        <v>15</v>
      </c>
      <c r="E148" s="1" t="s">
        <v>27</v>
      </c>
      <c r="F148" s="1" t="s">
        <v>28</v>
      </c>
      <c r="G148" s="1" t="s">
        <v>8</v>
      </c>
      <c r="H148" s="3">
        <v>77</v>
      </c>
      <c r="I148" s="11">
        <f>100%-J148</f>
        <v>0.68599999999999994</v>
      </c>
      <c r="J148" s="12">
        <v>0.314</v>
      </c>
      <c r="K148" s="12">
        <f t="shared" si="21"/>
        <v>0.90700000000000003</v>
      </c>
      <c r="L148" s="13">
        <v>0.02</v>
      </c>
      <c r="M148" s="13">
        <v>7.2999999999999995E-2</v>
      </c>
      <c r="N148" s="6" t="s">
        <v>6</v>
      </c>
      <c r="O148" s="69"/>
      <c r="P148" s="69"/>
      <c r="Q148" s="8">
        <f t="shared" si="17"/>
        <v>13.70019533527697</v>
      </c>
      <c r="R148" s="8">
        <f t="shared" si="18"/>
        <v>0.30209912536443151</v>
      </c>
      <c r="S148" s="8">
        <f t="shared" si="19"/>
        <v>1.1026618075801751</v>
      </c>
    </row>
    <row r="149" spans="1:19" x14ac:dyDescent="0.25">
      <c r="A149" s="26" t="s">
        <v>352</v>
      </c>
      <c r="B149" s="2">
        <v>5050</v>
      </c>
      <c r="C149" s="1" t="s">
        <v>14</v>
      </c>
      <c r="D149" s="2" t="s">
        <v>15</v>
      </c>
      <c r="E149" s="2" t="s">
        <v>27</v>
      </c>
      <c r="F149" s="2" t="s">
        <v>28</v>
      </c>
      <c r="G149" s="2" t="s">
        <v>10</v>
      </c>
      <c r="H149" s="3">
        <v>77</v>
      </c>
      <c r="I149" s="4">
        <f>100%-J149</f>
        <v>0.71</v>
      </c>
      <c r="J149" s="9">
        <v>0.28999999999999998</v>
      </c>
      <c r="K149" s="5">
        <f t="shared" si="21"/>
        <v>0.71299999999999997</v>
      </c>
      <c r="L149" s="24">
        <v>0.25</v>
      </c>
      <c r="M149" s="24">
        <v>3.6999999999999998E-2</v>
      </c>
      <c r="N149" s="6" t="s">
        <v>6</v>
      </c>
      <c r="O149" s="69"/>
      <c r="P149" s="69"/>
      <c r="Q149" s="8">
        <f t="shared" si="17"/>
        <v>9.6104366197183104</v>
      </c>
      <c r="R149" s="8">
        <f t="shared" si="18"/>
        <v>3.369718309859155</v>
      </c>
      <c r="S149" s="8">
        <f t="shared" si="19"/>
        <v>0.49871830985915494</v>
      </c>
    </row>
    <row r="150" spans="1:19" x14ac:dyDescent="0.25">
      <c r="A150" s="26" t="s">
        <v>353</v>
      </c>
      <c r="B150" s="27">
        <v>5050</v>
      </c>
      <c r="C150" s="1" t="s">
        <v>14</v>
      </c>
      <c r="D150" s="27" t="s">
        <v>15</v>
      </c>
      <c r="E150" s="27" t="s">
        <v>27</v>
      </c>
      <c r="F150" s="27" t="s">
        <v>28</v>
      </c>
      <c r="G150" s="27" t="s">
        <v>12</v>
      </c>
      <c r="H150" s="3">
        <v>77</v>
      </c>
      <c r="I150" s="28">
        <f>100%-J150</f>
        <v>0.81600000000000006</v>
      </c>
      <c r="J150" s="29">
        <v>0.184</v>
      </c>
      <c r="K150" s="29">
        <f t="shared" si="21"/>
        <v>0.93499999999999994</v>
      </c>
      <c r="L150" s="30">
        <v>0.02</v>
      </c>
      <c r="M150" s="30">
        <v>4.4999999999999998E-2</v>
      </c>
      <c r="N150" s="31" t="s">
        <v>6</v>
      </c>
      <c r="O150" s="69"/>
      <c r="P150" s="69"/>
      <c r="Q150" s="8">
        <f t="shared" si="17"/>
        <v>6.9574999999999987</v>
      </c>
      <c r="R150" s="8">
        <f t="shared" si="18"/>
        <v>0.14882352941176469</v>
      </c>
      <c r="S150" s="8">
        <f t="shared" si="19"/>
        <v>0.33485294117647052</v>
      </c>
    </row>
    <row r="151" spans="1:19" x14ac:dyDescent="0.25">
      <c r="A151" s="26" t="s">
        <v>354</v>
      </c>
      <c r="B151" s="3">
        <v>5050</v>
      </c>
      <c r="C151" s="1" t="s">
        <v>14</v>
      </c>
      <c r="D151" s="3" t="s">
        <v>15</v>
      </c>
      <c r="E151" s="3" t="s">
        <v>27</v>
      </c>
      <c r="F151" s="3" t="s">
        <v>28</v>
      </c>
      <c r="G151" s="3" t="s">
        <v>259</v>
      </c>
      <c r="H151" s="3">
        <v>77</v>
      </c>
      <c r="I151" s="32">
        <f t="shared" ref="I151:I194" si="23">100%-J151</f>
        <v>0.83</v>
      </c>
      <c r="J151" s="33">
        <v>0.17</v>
      </c>
      <c r="K151" s="33">
        <f t="shared" si="21"/>
        <v>0.94774193548387098</v>
      </c>
      <c r="L151" s="36">
        <v>0.02</v>
      </c>
      <c r="M151" s="36">
        <v>3.2258064516129031E-2</v>
      </c>
      <c r="N151" s="34" t="s">
        <v>6</v>
      </c>
      <c r="O151" s="69"/>
      <c r="P151" s="69"/>
      <c r="Q151" s="8">
        <f t="shared" si="17"/>
        <v>6.4058219976680935</v>
      </c>
      <c r="R151" s="8">
        <f t="shared" si="18"/>
        <v>0.1351807228915663</v>
      </c>
      <c r="S151" s="8">
        <f t="shared" si="19"/>
        <v>0.2180334240186553</v>
      </c>
    </row>
    <row r="152" spans="1:19" x14ac:dyDescent="0.25">
      <c r="A152" s="26" t="s">
        <v>355</v>
      </c>
      <c r="B152" s="3">
        <v>5050</v>
      </c>
      <c r="C152" s="1" t="s">
        <v>14</v>
      </c>
      <c r="D152" s="3" t="s">
        <v>306</v>
      </c>
      <c r="E152" s="3" t="s">
        <v>33</v>
      </c>
      <c r="F152" s="3" t="s">
        <v>34</v>
      </c>
      <c r="G152" s="3" t="s">
        <v>5</v>
      </c>
      <c r="H152" s="3">
        <v>77</v>
      </c>
      <c r="I152" s="32">
        <f t="shared" si="23"/>
        <v>0.55000000000000004</v>
      </c>
      <c r="J152" s="33">
        <v>0.45</v>
      </c>
      <c r="K152" s="33">
        <f t="shared" si="21"/>
        <v>0.91749999999999998</v>
      </c>
      <c r="L152" s="33">
        <v>0.02</v>
      </c>
      <c r="M152" s="33">
        <v>6.25E-2</v>
      </c>
      <c r="N152" s="34" t="s">
        <v>6</v>
      </c>
      <c r="O152" s="69"/>
      <c r="P152" s="69"/>
      <c r="Q152" s="8">
        <f t="shared" si="17"/>
        <v>24.772499999999997</v>
      </c>
      <c r="R152" s="8">
        <f t="shared" si="18"/>
        <v>0.53999999999999992</v>
      </c>
      <c r="S152" s="8">
        <f t="shared" si="19"/>
        <v>1.6874999999999998</v>
      </c>
    </row>
    <row r="153" spans="1:19" x14ac:dyDescent="0.25">
      <c r="A153" s="26" t="s">
        <v>356</v>
      </c>
      <c r="B153" s="3">
        <v>5050</v>
      </c>
      <c r="C153" s="1" t="s">
        <v>14</v>
      </c>
      <c r="D153" s="3" t="s">
        <v>306</v>
      </c>
      <c r="E153" s="3" t="s">
        <v>33</v>
      </c>
      <c r="F153" s="3" t="s">
        <v>36</v>
      </c>
      <c r="G153" s="3" t="s">
        <v>5</v>
      </c>
      <c r="H153" s="3">
        <v>77</v>
      </c>
      <c r="I153" s="32">
        <f t="shared" si="23"/>
        <v>0.55000000000000004</v>
      </c>
      <c r="J153" s="33">
        <v>0.45</v>
      </c>
      <c r="K153" s="33">
        <f t="shared" si="21"/>
        <v>0.91749999999999998</v>
      </c>
      <c r="L153" s="33">
        <v>0.02</v>
      </c>
      <c r="M153" s="33">
        <v>6.25E-2</v>
      </c>
      <c r="N153" s="34" t="s">
        <v>6</v>
      </c>
      <c r="O153" s="69"/>
      <c r="P153" s="69"/>
      <c r="Q153" s="8">
        <f t="shared" si="17"/>
        <v>24.772499999999997</v>
      </c>
      <c r="R153" s="8">
        <f t="shared" si="18"/>
        <v>0.53999999999999992</v>
      </c>
      <c r="S153" s="8">
        <f t="shared" si="19"/>
        <v>1.6874999999999998</v>
      </c>
    </row>
    <row r="154" spans="1:19" x14ac:dyDescent="0.25">
      <c r="A154" s="26" t="s">
        <v>357</v>
      </c>
      <c r="B154" s="2">
        <v>5050</v>
      </c>
      <c r="C154" s="1" t="s">
        <v>14</v>
      </c>
      <c r="D154" s="2" t="s">
        <v>306</v>
      </c>
      <c r="E154" s="2" t="s">
        <v>33</v>
      </c>
      <c r="F154" s="2" t="s">
        <v>34</v>
      </c>
      <c r="G154" s="2" t="s">
        <v>8</v>
      </c>
      <c r="H154" s="3">
        <v>77</v>
      </c>
      <c r="I154" s="4">
        <f t="shared" si="23"/>
        <v>0.57000000000000006</v>
      </c>
      <c r="J154" s="5">
        <v>0.43</v>
      </c>
      <c r="K154" s="5">
        <f t="shared" si="21"/>
        <v>0.92620000000000002</v>
      </c>
      <c r="L154" s="5">
        <v>1.9999999999999997E-2</v>
      </c>
      <c r="M154" s="5">
        <v>5.3800000000000001E-2</v>
      </c>
      <c r="N154" s="6" t="s">
        <v>6</v>
      </c>
      <c r="O154" s="69"/>
      <c r="P154" s="69"/>
      <c r="Q154" s="8">
        <f t="shared" si="17"/>
        <v>23.057505263157893</v>
      </c>
      <c r="R154" s="8">
        <f t="shared" si="18"/>
        <v>0.49789473684210511</v>
      </c>
      <c r="S154" s="8">
        <f t="shared" si="19"/>
        <v>1.3393368421052629</v>
      </c>
    </row>
    <row r="155" spans="1:19" x14ac:dyDescent="0.25">
      <c r="A155" s="26" t="s">
        <v>358</v>
      </c>
      <c r="B155" s="2">
        <v>5050</v>
      </c>
      <c r="C155" s="1" t="s">
        <v>14</v>
      </c>
      <c r="D155" s="2" t="s">
        <v>306</v>
      </c>
      <c r="E155" s="2" t="s">
        <v>33</v>
      </c>
      <c r="F155" s="2" t="s">
        <v>36</v>
      </c>
      <c r="G155" s="2" t="s">
        <v>8</v>
      </c>
      <c r="H155" s="3">
        <v>77</v>
      </c>
      <c r="I155" s="4">
        <f t="shared" si="23"/>
        <v>0.57000000000000006</v>
      </c>
      <c r="J155" s="5">
        <v>0.43</v>
      </c>
      <c r="K155" s="5">
        <f t="shared" si="21"/>
        <v>0.92620000000000002</v>
      </c>
      <c r="L155" s="5">
        <v>1.9999999999999997E-2</v>
      </c>
      <c r="M155" s="5">
        <v>5.3800000000000001E-2</v>
      </c>
      <c r="N155" s="6" t="s">
        <v>6</v>
      </c>
      <c r="O155" s="69"/>
      <c r="P155" s="69"/>
      <c r="Q155" s="8">
        <f t="shared" si="17"/>
        <v>23.057505263157893</v>
      </c>
      <c r="R155" s="8">
        <f t="shared" si="18"/>
        <v>0.49789473684210511</v>
      </c>
      <c r="S155" s="8">
        <f t="shared" si="19"/>
        <v>1.3393368421052629</v>
      </c>
    </row>
    <row r="156" spans="1:19" x14ac:dyDescent="0.25">
      <c r="A156" s="26" t="s">
        <v>359</v>
      </c>
      <c r="B156" s="3">
        <v>5050</v>
      </c>
      <c r="C156" s="1" t="s">
        <v>14</v>
      </c>
      <c r="D156" s="3" t="s">
        <v>306</v>
      </c>
      <c r="E156" s="3" t="s">
        <v>33</v>
      </c>
      <c r="F156" s="3" t="s">
        <v>34</v>
      </c>
      <c r="G156" s="3" t="s">
        <v>10</v>
      </c>
      <c r="H156" s="3">
        <v>77</v>
      </c>
      <c r="I156" s="32">
        <f t="shared" si="23"/>
        <v>0.7</v>
      </c>
      <c r="J156" s="35">
        <v>0.3</v>
      </c>
      <c r="K156" s="33">
        <f t="shared" si="21"/>
        <v>0.93555555555555558</v>
      </c>
      <c r="L156" s="35">
        <v>0.02</v>
      </c>
      <c r="M156" s="35">
        <v>4.4444444444444446E-2</v>
      </c>
      <c r="N156" s="34" t="s">
        <v>6</v>
      </c>
      <c r="O156" s="69"/>
      <c r="P156" s="69"/>
      <c r="Q156" s="8">
        <f t="shared" si="17"/>
        <v>13.231428571428573</v>
      </c>
      <c r="R156" s="8">
        <f t="shared" si="18"/>
        <v>0.28285714285714286</v>
      </c>
      <c r="S156" s="8">
        <f t="shared" si="19"/>
        <v>0.62857142857142867</v>
      </c>
    </row>
    <row r="157" spans="1:19" x14ac:dyDescent="0.25">
      <c r="A157" s="26" t="s">
        <v>360</v>
      </c>
      <c r="B157" s="3">
        <v>5050</v>
      </c>
      <c r="C157" s="1" t="s">
        <v>14</v>
      </c>
      <c r="D157" s="3" t="s">
        <v>306</v>
      </c>
      <c r="E157" s="3" t="s">
        <v>33</v>
      </c>
      <c r="F157" s="3" t="s">
        <v>36</v>
      </c>
      <c r="G157" s="3" t="s">
        <v>10</v>
      </c>
      <c r="H157" s="3">
        <v>77</v>
      </c>
      <c r="I157" s="32">
        <f t="shared" si="23"/>
        <v>0.71</v>
      </c>
      <c r="J157" s="35">
        <v>0.28999999999999998</v>
      </c>
      <c r="K157" s="33">
        <f t="shared" si="21"/>
        <v>0.71199999999999997</v>
      </c>
      <c r="L157" s="35">
        <v>0.25</v>
      </c>
      <c r="M157" s="35">
        <v>3.7999999999999999E-2</v>
      </c>
      <c r="N157" s="34" t="s">
        <v>24</v>
      </c>
      <c r="O157" s="69"/>
      <c r="P157" s="69"/>
      <c r="Q157" s="8">
        <f t="shared" si="17"/>
        <v>9.5969577464788731</v>
      </c>
      <c r="R157" s="8">
        <f t="shared" si="18"/>
        <v>3.369718309859155</v>
      </c>
      <c r="S157" s="8">
        <f t="shared" si="19"/>
        <v>0.51219718309859152</v>
      </c>
    </row>
    <row r="158" spans="1:19" x14ac:dyDescent="0.25">
      <c r="A158" s="26" t="s">
        <v>361</v>
      </c>
      <c r="B158" s="2">
        <v>5050</v>
      </c>
      <c r="C158" s="1" t="s">
        <v>14</v>
      </c>
      <c r="D158" s="2" t="s">
        <v>306</v>
      </c>
      <c r="E158" s="2" t="s">
        <v>33</v>
      </c>
      <c r="F158" s="2" t="s">
        <v>36</v>
      </c>
      <c r="G158" s="2" t="s">
        <v>12</v>
      </c>
      <c r="H158" s="3">
        <v>77</v>
      </c>
      <c r="I158" s="4">
        <f t="shared" si="23"/>
        <v>0.77</v>
      </c>
      <c r="J158" s="5">
        <v>0.23</v>
      </c>
      <c r="K158" s="5">
        <f t="shared" si="21"/>
        <v>0.6</v>
      </c>
      <c r="L158" s="9">
        <v>0.378</v>
      </c>
      <c r="M158" s="9">
        <v>2.1999999999999999E-2</v>
      </c>
      <c r="N158" s="6" t="s">
        <v>24</v>
      </c>
      <c r="O158" s="69"/>
      <c r="P158" s="69"/>
      <c r="Q158" s="8">
        <f t="shared" si="17"/>
        <v>5.9142857142857146</v>
      </c>
      <c r="R158" s="8">
        <f t="shared" si="18"/>
        <v>3.7260000000000004</v>
      </c>
      <c r="S158" s="8">
        <f t="shared" si="19"/>
        <v>0.21685714285714286</v>
      </c>
    </row>
    <row r="159" spans="1:19" x14ac:dyDescent="0.25">
      <c r="A159" s="26" t="s">
        <v>362</v>
      </c>
      <c r="B159" s="2">
        <v>5050</v>
      </c>
      <c r="C159" s="1" t="s">
        <v>14</v>
      </c>
      <c r="D159" s="2" t="s">
        <v>306</v>
      </c>
      <c r="E159" s="2" t="s">
        <v>33</v>
      </c>
      <c r="F159" s="2" t="s">
        <v>34</v>
      </c>
      <c r="G159" s="2" t="s">
        <v>12</v>
      </c>
      <c r="H159" s="3">
        <v>77</v>
      </c>
      <c r="I159" s="4">
        <f t="shared" si="23"/>
        <v>0.76500000000000001</v>
      </c>
      <c r="J159" s="5">
        <v>0.23499999999999999</v>
      </c>
      <c r="K159" s="5">
        <f t="shared" si="21"/>
        <v>0.94430000000000003</v>
      </c>
      <c r="L159" s="9">
        <v>0.02</v>
      </c>
      <c r="M159" s="9">
        <v>3.5700000000000003E-2</v>
      </c>
      <c r="N159" s="6" t="s">
        <v>6</v>
      </c>
      <c r="O159" s="69"/>
      <c r="P159" s="69"/>
      <c r="Q159" s="8">
        <f t="shared" si="17"/>
        <v>9.5726098039215675</v>
      </c>
      <c r="R159" s="8">
        <f t="shared" si="18"/>
        <v>0.20274509803921564</v>
      </c>
      <c r="S159" s="8">
        <f t="shared" si="19"/>
        <v>0.36189999999999994</v>
      </c>
    </row>
    <row r="160" spans="1:19" x14ac:dyDescent="0.25">
      <c r="A160" s="26" t="s">
        <v>363</v>
      </c>
      <c r="B160" s="3">
        <v>5050</v>
      </c>
      <c r="C160" s="1" t="s">
        <v>14</v>
      </c>
      <c r="D160" s="3" t="s">
        <v>306</v>
      </c>
      <c r="E160" s="3" t="s">
        <v>33</v>
      </c>
      <c r="F160" s="3" t="s">
        <v>34</v>
      </c>
      <c r="G160" s="3" t="s">
        <v>259</v>
      </c>
      <c r="H160" s="3">
        <v>77</v>
      </c>
      <c r="I160" s="32">
        <f t="shared" si="23"/>
        <v>0.83</v>
      </c>
      <c r="J160" s="33">
        <v>0.17</v>
      </c>
      <c r="K160" s="33">
        <f t="shared" si="21"/>
        <v>0.94774193548387098</v>
      </c>
      <c r="L160" s="33">
        <v>0.02</v>
      </c>
      <c r="M160" s="33">
        <v>3.2258064516129031E-2</v>
      </c>
      <c r="N160" s="34" t="s">
        <v>6</v>
      </c>
      <c r="O160" s="69"/>
      <c r="P160" s="69"/>
      <c r="Q160" s="8">
        <f t="shared" si="17"/>
        <v>6.4058219976680935</v>
      </c>
      <c r="R160" s="8">
        <f t="shared" si="18"/>
        <v>0.1351807228915663</v>
      </c>
      <c r="S160" s="8">
        <f t="shared" si="19"/>
        <v>0.2180334240186553</v>
      </c>
    </row>
    <row r="161" spans="1:19" x14ac:dyDescent="0.25">
      <c r="A161" s="26" t="s">
        <v>364</v>
      </c>
      <c r="B161" s="3">
        <v>5050</v>
      </c>
      <c r="C161" s="1" t="s">
        <v>14</v>
      </c>
      <c r="D161" s="3" t="s">
        <v>306</v>
      </c>
      <c r="E161" s="3" t="s">
        <v>33</v>
      </c>
      <c r="F161" s="3" t="s">
        <v>36</v>
      </c>
      <c r="G161" s="3" t="s">
        <v>259</v>
      </c>
      <c r="H161" s="3">
        <v>77</v>
      </c>
      <c r="I161" s="32">
        <f t="shared" si="23"/>
        <v>0.83</v>
      </c>
      <c r="J161" s="33">
        <v>0.17</v>
      </c>
      <c r="K161" s="33">
        <f t="shared" si="21"/>
        <v>0.94774193548387098</v>
      </c>
      <c r="L161" s="33">
        <v>0.02</v>
      </c>
      <c r="M161" s="33">
        <v>3.2258064516129031E-2</v>
      </c>
      <c r="N161" s="34" t="s">
        <v>6</v>
      </c>
      <c r="O161" s="69"/>
      <c r="P161" s="69"/>
      <c r="Q161" s="8">
        <f t="shared" si="17"/>
        <v>6.4058219976680935</v>
      </c>
      <c r="R161" s="8">
        <f t="shared" si="18"/>
        <v>0.1351807228915663</v>
      </c>
      <c r="S161" s="8">
        <f t="shared" si="19"/>
        <v>0.2180334240186553</v>
      </c>
    </row>
    <row r="162" spans="1:19" x14ac:dyDescent="0.25">
      <c r="A162" s="26" t="s">
        <v>365</v>
      </c>
      <c r="B162" s="3">
        <v>5050</v>
      </c>
      <c r="C162" s="1" t="s">
        <v>14</v>
      </c>
      <c r="D162" s="3" t="s">
        <v>15</v>
      </c>
      <c r="E162" s="3" t="s">
        <v>33</v>
      </c>
      <c r="F162" s="3" t="s">
        <v>34</v>
      </c>
      <c r="G162" s="3" t="s">
        <v>5</v>
      </c>
      <c r="H162" s="3">
        <v>77</v>
      </c>
      <c r="I162" s="32">
        <f t="shared" si="23"/>
        <v>0.55000000000000004</v>
      </c>
      <c r="J162" s="33">
        <v>0.45</v>
      </c>
      <c r="K162" s="33">
        <f t="shared" si="21"/>
        <v>0.91749999999999998</v>
      </c>
      <c r="L162" s="36">
        <v>0.02</v>
      </c>
      <c r="M162" s="36">
        <v>6.25E-2</v>
      </c>
      <c r="N162" s="34" t="s">
        <v>6</v>
      </c>
      <c r="O162" s="69"/>
      <c r="P162" s="69"/>
      <c r="Q162" s="8">
        <f t="shared" si="17"/>
        <v>24.772499999999997</v>
      </c>
      <c r="R162" s="8">
        <f t="shared" si="18"/>
        <v>0.53999999999999992</v>
      </c>
      <c r="S162" s="8">
        <f t="shared" si="19"/>
        <v>1.6874999999999998</v>
      </c>
    </row>
    <row r="163" spans="1:19" x14ac:dyDescent="0.25">
      <c r="A163" s="26" t="s">
        <v>366</v>
      </c>
      <c r="B163" s="3">
        <v>5050</v>
      </c>
      <c r="C163" s="1" t="s">
        <v>14</v>
      </c>
      <c r="D163" s="3" t="s">
        <v>15</v>
      </c>
      <c r="E163" s="3" t="s">
        <v>33</v>
      </c>
      <c r="F163" s="3" t="s">
        <v>36</v>
      </c>
      <c r="G163" s="3" t="s">
        <v>5</v>
      </c>
      <c r="H163" s="3">
        <v>77</v>
      </c>
      <c r="I163" s="32">
        <f t="shared" si="23"/>
        <v>0.55000000000000004</v>
      </c>
      <c r="J163" s="33">
        <v>0.45</v>
      </c>
      <c r="K163" s="33">
        <f t="shared" si="21"/>
        <v>0.91749999999999998</v>
      </c>
      <c r="L163" s="36">
        <v>0.02</v>
      </c>
      <c r="M163" s="36">
        <v>6.25E-2</v>
      </c>
      <c r="N163" s="34" t="s">
        <v>6</v>
      </c>
      <c r="O163" s="69"/>
      <c r="P163" s="69"/>
      <c r="Q163" s="8">
        <f t="shared" si="17"/>
        <v>24.772499999999997</v>
      </c>
      <c r="R163" s="8">
        <f t="shared" si="18"/>
        <v>0.53999999999999992</v>
      </c>
      <c r="S163" s="8">
        <f t="shared" si="19"/>
        <v>1.6874999999999998</v>
      </c>
    </row>
    <row r="164" spans="1:19" x14ac:dyDescent="0.25">
      <c r="A164" s="26" t="s">
        <v>367</v>
      </c>
      <c r="B164" s="3">
        <v>5050</v>
      </c>
      <c r="C164" s="1" t="s">
        <v>14</v>
      </c>
      <c r="D164" s="3" t="s">
        <v>15</v>
      </c>
      <c r="E164" s="3" t="s">
        <v>33</v>
      </c>
      <c r="F164" s="3" t="s">
        <v>34</v>
      </c>
      <c r="G164" s="3" t="s">
        <v>8</v>
      </c>
      <c r="H164" s="3">
        <v>77</v>
      </c>
      <c r="I164" s="32">
        <f t="shared" si="23"/>
        <v>0.6</v>
      </c>
      <c r="J164" s="33">
        <v>0.4</v>
      </c>
      <c r="K164" s="33">
        <f t="shared" si="21"/>
        <v>0.92117647058823526</v>
      </c>
      <c r="L164" s="36">
        <v>1.9999999999999997E-2</v>
      </c>
      <c r="M164" s="36">
        <v>5.8823529411764705E-2</v>
      </c>
      <c r="N164" s="34" t="s">
        <v>6</v>
      </c>
      <c r="O164" s="69"/>
      <c r="P164" s="69"/>
      <c r="Q164" s="8">
        <f t="shared" si="17"/>
        <v>20.265882352941176</v>
      </c>
      <c r="R164" s="8">
        <f t="shared" si="18"/>
        <v>0.43999999999999995</v>
      </c>
      <c r="S164" s="8">
        <f t="shared" si="19"/>
        <v>1.2941176470588236</v>
      </c>
    </row>
    <row r="165" spans="1:19" x14ac:dyDescent="0.25">
      <c r="A165" s="26" t="s">
        <v>368</v>
      </c>
      <c r="B165" s="3">
        <v>5050</v>
      </c>
      <c r="C165" s="1" t="s">
        <v>14</v>
      </c>
      <c r="D165" s="3" t="s">
        <v>15</v>
      </c>
      <c r="E165" s="3" t="s">
        <v>33</v>
      </c>
      <c r="F165" s="3" t="s">
        <v>36</v>
      </c>
      <c r="G165" s="3" t="s">
        <v>8</v>
      </c>
      <c r="H165" s="3">
        <v>77</v>
      </c>
      <c r="I165" s="32">
        <f t="shared" si="23"/>
        <v>0.59499999999999997</v>
      </c>
      <c r="J165" s="33">
        <v>0.40500000000000003</v>
      </c>
      <c r="K165" s="33">
        <f t="shared" si="21"/>
        <v>0.91199999999999992</v>
      </c>
      <c r="L165" s="36">
        <v>1.9999999999999997E-2</v>
      </c>
      <c r="M165" s="36">
        <v>6.8000000000000005E-2</v>
      </c>
      <c r="N165" s="34" t="s">
        <v>6</v>
      </c>
      <c r="O165" s="69"/>
      <c r="P165" s="69"/>
      <c r="Q165" s="8">
        <f t="shared" si="17"/>
        <v>20.485512605042018</v>
      </c>
      <c r="R165" s="8">
        <f t="shared" si="18"/>
        <v>0.44924369747899157</v>
      </c>
      <c r="S165" s="8">
        <f t="shared" si="19"/>
        <v>1.5274285714285716</v>
      </c>
    </row>
    <row r="166" spans="1:19" x14ac:dyDescent="0.25">
      <c r="A166" s="26" t="s">
        <v>369</v>
      </c>
      <c r="B166" s="2">
        <v>5050</v>
      </c>
      <c r="C166" s="1" t="s">
        <v>14</v>
      </c>
      <c r="D166" s="2" t="s">
        <v>15</v>
      </c>
      <c r="E166" s="2" t="s">
        <v>33</v>
      </c>
      <c r="F166" s="2" t="s">
        <v>34</v>
      </c>
      <c r="G166" s="2" t="s">
        <v>10</v>
      </c>
      <c r="H166" s="3">
        <v>77</v>
      </c>
      <c r="I166" s="4">
        <f t="shared" si="23"/>
        <v>0.69</v>
      </c>
      <c r="J166" s="9">
        <v>0.31</v>
      </c>
      <c r="K166" s="5">
        <f t="shared" si="21"/>
        <v>0.71799999999999997</v>
      </c>
      <c r="L166" s="24">
        <v>0.25</v>
      </c>
      <c r="M166" s="24">
        <v>3.2000000000000001E-2</v>
      </c>
      <c r="N166" s="6" t="s">
        <v>6</v>
      </c>
      <c r="O166" s="69"/>
      <c r="P166" s="69"/>
      <c r="Q166" s="8">
        <f t="shared" si="17"/>
        <v>10.645130434782608</v>
      </c>
      <c r="R166" s="8">
        <f t="shared" si="18"/>
        <v>3.706521739130435</v>
      </c>
      <c r="S166" s="8">
        <f t="shared" si="19"/>
        <v>0.4744347826086957</v>
      </c>
    </row>
    <row r="167" spans="1:19" x14ac:dyDescent="0.25">
      <c r="A167" s="26" t="s">
        <v>370</v>
      </c>
      <c r="B167" s="2">
        <v>5050</v>
      </c>
      <c r="C167" s="1" t="s">
        <v>14</v>
      </c>
      <c r="D167" s="2" t="s">
        <v>15</v>
      </c>
      <c r="E167" s="2" t="s">
        <v>33</v>
      </c>
      <c r="F167" s="2" t="s">
        <v>36</v>
      </c>
      <c r="G167" s="2" t="s">
        <v>10</v>
      </c>
      <c r="H167" s="3">
        <v>77</v>
      </c>
      <c r="I167" s="4">
        <f t="shared" si="23"/>
        <v>0.77</v>
      </c>
      <c r="J167" s="9">
        <v>0.23</v>
      </c>
      <c r="K167" s="5">
        <f t="shared" si="21"/>
        <v>0.92299999999999993</v>
      </c>
      <c r="L167" s="24">
        <v>0.02</v>
      </c>
      <c r="M167" s="24">
        <v>5.7000000000000002E-2</v>
      </c>
      <c r="N167" s="6" t="s">
        <v>6</v>
      </c>
      <c r="O167" s="69"/>
      <c r="P167" s="69"/>
      <c r="Q167" s="8">
        <f t="shared" si="17"/>
        <v>9.0981428571428573</v>
      </c>
      <c r="R167" s="8">
        <f t="shared" si="18"/>
        <v>0.19714285714285715</v>
      </c>
      <c r="S167" s="8">
        <f t="shared" si="19"/>
        <v>0.56185714285714294</v>
      </c>
    </row>
    <row r="168" spans="1:19" x14ac:dyDescent="0.25">
      <c r="A168" s="26" t="s">
        <v>371</v>
      </c>
      <c r="B168" s="3">
        <v>5050</v>
      </c>
      <c r="C168" s="1" t="s">
        <v>14</v>
      </c>
      <c r="D168" s="3" t="s">
        <v>15</v>
      </c>
      <c r="E168" s="3" t="s">
        <v>54</v>
      </c>
      <c r="F168" s="3" t="s">
        <v>36</v>
      </c>
      <c r="G168" s="37" t="s">
        <v>12</v>
      </c>
      <c r="H168" s="3">
        <v>77</v>
      </c>
      <c r="I168" s="32">
        <f t="shared" si="23"/>
        <v>0.75</v>
      </c>
      <c r="J168" s="33">
        <v>0.25</v>
      </c>
      <c r="K168" s="33">
        <f t="shared" si="21"/>
        <v>0.77700000000000002</v>
      </c>
      <c r="L168" s="36">
        <v>0.2</v>
      </c>
      <c r="M168" s="36">
        <v>2.3E-2</v>
      </c>
      <c r="N168" s="34" t="s">
        <v>6</v>
      </c>
      <c r="O168" s="69"/>
      <c r="P168" s="69"/>
      <c r="Q168" s="8">
        <f t="shared" si="17"/>
        <v>8.5470000000000006</v>
      </c>
      <c r="R168" s="8">
        <f t="shared" si="18"/>
        <v>2.2000000000000002</v>
      </c>
      <c r="S168" s="8">
        <f t="shared" si="19"/>
        <v>0.253</v>
      </c>
    </row>
    <row r="169" spans="1:19" x14ac:dyDescent="0.25">
      <c r="A169" s="26" t="s">
        <v>372</v>
      </c>
      <c r="B169" s="3">
        <v>5050</v>
      </c>
      <c r="C169" s="1" t="s">
        <v>14</v>
      </c>
      <c r="D169" s="3" t="s">
        <v>15</v>
      </c>
      <c r="E169" s="3" t="s">
        <v>54</v>
      </c>
      <c r="F169" s="3" t="s">
        <v>34</v>
      </c>
      <c r="G169" s="37" t="s">
        <v>12</v>
      </c>
      <c r="H169" s="3">
        <v>77</v>
      </c>
      <c r="I169" s="32">
        <f t="shared" si="23"/>
        <v>0.82000000000000006</v>
      </c>
      <c r="J169" s="33">
        <v>0.18</v>
      </c>
      <c r="K169" s="33">
        <f t="shared" si="21"/>
        <v>0.93299999999999994</v>
      </c>
      <c r="L169" s="36">
        <v>0.02</v>
      </c>
      <c r="M169" s="36">
        <v>4.7E-2</v>
      </c>
      <c r="N169" s="34" t="s">
        <v>6</v>
      </c>
      <c r="O169" s="69"/>
      <c r="P169" s="69"/>
      <c r="Q169" s="8">
        <f t="shared" si="17"/>
        <v>6.7585609756097549</v>
      </c>
      <c r="R169" s="8">
        <f t="shared" si="18"/>
        <v>0.14487804878048779</v>
      </c>
      <c r="S169" s="8">
        <f t="shared" si="19"/>
        <v>0.34046341463414631</v>
      </c>
    </row>
    <row r="170" spans="1:19" x14ac:dyDescent="0.25">
      <c r="A170" s="26" t="s">
        <v>373</v>
      </c>
      <c r="B170" s="3">
        <v>5050</v>
      </c>
      <c r="C170" s="1" t="s">
        <v>14</v>
      </c>
      <c r="D170" s="3" t="s">
        <v>15</v>
      </c>
      <c r="E170" s="3" t="s">
        <v>33</v>
      </c>
      <c r="F170" s="3" t="s">
        <v>34</v>
      </c>
      <c r="G170" s="3" t="s">
        <v>259</v>
      </c>
      <c r="H170" s="3">
        <v>77</v>
      </c>
      <c r="I170" s="32">
        <f t="shared" si="23"/>
        <v>0.83</v>
      </c>
      <c r="J170" s="33">
        <v>0.17</v>
      </c>
      <c r="K170" s="33">
        <f t="shared" si="21"/>
        <v>0.94774193548387098</v>
      </c>
      <c r="L170" s="36">
        <v>0.02</v>
      </c>
      <c r="M170" s="36">
        <v>3.2258064516129031E-2</v>
      </c>
      <c r="N170" s="34" t="s">
        <v>6</v>
      </c>
      <c r="O170" s="69"/>
      <c r="P170" s="69"/>
      <c r="Q170" s="8">
        <f t="shared" si="17"/>
        <v>6.4058219976680935</v>
      </c>
      <c r="R170" s="8">
        <f t="shared" si="18"/>
        <v>0.1351807228915663</v>
      </c>
      <c r="S170" s="8">
        <f t="shared" si="19"/>
        <v>0.2180334240186553</v>
      </c>
    </row>
    <row r="171" spans="1:19" x14ac:dyDescent="0.25">
      <c r="A171" s="26" t="s">
        <v>374</v>
      </c>
      <c r="B171" s="3">
        <v>5050</v>
      </c>
      <c r="C171" s="1" t="s">
        <v>14</v>
      </c>
      <c r="D171" s="3" t="s">
        <v>15</v>
      </c>
      <c r="E171" s="3" t="s">
        <v>33</v>
      </c>
      <c r="F171" s="3" t="s">
        <v>36</v>
      </c>
      <c r="G171" s="3" t="s">
        <v>259</v>
      </c>
      <c r="H171" s="3">
        <v>77</v>
      </c>
      <c r="I171" s="32">
        <f t="shared" si="23"/>
        <v>0.8</v>
      </c>
      <c r="J171" s="33">
        <v>0.2</v>
      </c>
      <c r="K171" s="33">
        <f t="shared" si="21"/>
        <v>0.93899999999999995</v>
      </c>
      <c r="L171" s="36">
        <v>0.02</v>
      </c>
      <c r="M171" s="36">
        <v>4.1000000000000002E-2</v>
      </c>
      <c r="N171" s="34" t="s">
        <v>6</v>
      </c>
      <c r="O171" s="69"/>
      <c r="P171" s="69"/>
      <c r="Q171" s="8">
        <f t="shared" si="17"/>
        <v>7.7467499999999996</v>
      </c>
      <c r="R171" s="8">
        <f t="shared" si="18"/>
        <v>0.16500000000000001</v>
      </c>
      <c r="S171" s="8">
        <f t="shared" si="19"/>
        <v>0.33825</v>
      </c>
    </row>
    <row r="172" spans="1:19" x14ac:dyDescent="0.25">
      <c r="A172" s="1" t="s">
        <v>375</v>
      </c>
      <c r="B172" s="1">
        <v>3030</v>
      </c>
      <c r="C172" s="1" t="s">
        <v>14</v>
      </c>
      <c r="D172" s="3" t="s">
        <v>82</v>
      </c>
      <c r="E172" s="1" t="s">
        <v>20</v>
      </c>
      <c r="F172" s="1" t="s">
        <v>376</v>
      </c>
      <c r="G172" s="1" t="s">
        <v>5</v>
      </c>
      <c r="H172" s="3">
        <v>70</v>
      </c>
      <c r="I172" s="11">
        <f t="shared" si="23"/>
        <v>0.51</v>
      </c>
      <c r="J172" s="12">
        <v>0.49</v>
      </c>
      <c r="K172" s="12">
        <f t="shared" si="21"/>
        <v>0.91333333333333333</v>
      </c>
      <c r="L172" s="12">
        <v>0.02</v>
      </c>
      <c r="M172" s="12">
        <v>6.6666666666666666E-2</v>
      </c>
      <c r="N172" s="6" t="s">
        <v>6</v>
      </c>
      <c r="O172" s="69"/>
      <c r="P172" s="69"/>
      <c r="Q172" s="8">
        <f t="shared" si="17"/>
        <v>28.958039215686274</v>
      </c>
      <c r="R172" s="8">
        <f t="shared" si="18"/>
        <v>0.63411764705882345</v>
      </c>
      <c r="S172" s="8">
        <f t="shared" si="19"/>
        <v>2.113725490196078</v>
      </c>
    </row>
    <row r="173" spans="1:19" x14ac:dyDescent="0.25">
      <c r="A173" s="1" t="s">
        <v>377</v>
      </c>
      <c r="B173" s="3">
        <v>3030</v>
      </c>
      <c r="C173" s="1" t="s">
        <v>14</v>
      </c>
      <c r="D173" s="3" t="s">
        <v>82</v>
      </c>
      <c r="E173" s="3" t="s">
        <v>20</v>
      </c>
      <c r="F173" s="3" t="s">
        <v>376</v>
      </c>
      <c r="G173" s="3" t="s">
        <v>8</v>
      </c>
      <c r="H173" s="3">
        <v>70</v>
      </c>
      <c r="I173" s="32">
        <f t="shared" si="23"/>
        <v>0.55000000000000004</v>
      </c>
      <c r="J173" s="33">
        <v>0.45</v>
      </c>
      <c r="K173" s="33">
        <f t="shared" si="21"/>
        <v>0.65949999999999998</v>
      </c>
      <c r="L173" s="33">
        <v>0.3</v>
      </c>
      <c r="M173" s="33">
        <v>4.0500000000000001E-2</v>
      </c>
      <c r="N173" s="34" t="s">
        <v>44</v>
      </c>
      <c r="O173" s="69"/>
      <c r="P173" s="69"/>
      <c r="Q173" s="8">
        <f t="shared" si="17"/>
        <v>17.806499999999996</v>
      </c>
      <c r="R173" s="8">
        <f t="shared" si="18"/>
        <v>8.0999999999999979</v>
      </c>
      <c r="S173" s="8">
        <f t="shared" si="19"/>
        <v>1.0934999999999999</v>
      </c>
    </row>
    <row r="174" spans="1:19" x14ac:dyDescent="0.25">
      <c r="A174" s="1" t="s">
        <v>378</v>
      </c>
      <c r="B174" s="3">
        <v>3030</v>
      </c>
      <c r="C174" s="1" t="s">
        <v>14</v>
      </c>
      <c r="D174" s="3" t="s">
        <v>82</v>
      </c>
      <c r="E174" s="3" t="s">
        <v>20</v>
      </c>
      <c r="F174" s="3" t="s">
        <v>376</v>
      </c>
      <c r="G174" s="3" t="s">
        <v>10</v>
      </c>
      <c r="H174" s="3">
        <v>70</v>
      </c>
      <c r="I174" s="32">
        <f t="shared" si="23"/>
        <v>0.63</v>
      </c>
      <c r="J174" s="35">
        <v>0.37</v>
      </c>
      <c r="K174" s="33">
        <f t="shared" si="21"/>
        <v>0.72</v>
      </c>
      <c r="L174" s="33">
        <v>0.25</v>
      </c>
      <c r="M174" s="33">
        <v>0.03</v>
      </c>
      <c r="N174" s="34" t="s">
        <v>6</v>
      </c>
      <c r="O174" s="69"/>
      <c r="P174" s="69"/>
      <c r="Q174" s="8">
        <f t="shared" si="17"/>
        <v>13.954285714285712</v>
      </c>
      <c r="R174" s="8">
        <f t="shared" si="18"/>
        <v>4.8452380952380949</v>
      </c>
      <c r="S174" s="8">
        <f t="shared" si="19"/>
        <v>0.58142857142857141</v>
      </c>
    </row>
    <row r="175" spans="1:19" x14ac:dyDescent="0.25">
      <c r="A175" s="10" t="s">
        <v>379</v>
      </c>
      <c r="B175" s="3">
        <v>3030</v>
      </c>
      <c r="C175" s="1" t="s">
        <v>14</v>
      </c>
      <c r="D175" s="3" t="s">
        <v>82</v>
      </c>
      <c r="E175" s="3" t="s">
        <v>20</v>
      </c>
      <c r="F175" s="3" t="s">
        <v>376</v>
      </c>
      <c r="G175" s="3" t="s">
        <v>12</v>
      </c>
      <c r="H175" s="3">
        <v>70</v>
      </c>
      <c r="I175" s="32">
        <f t="shared" si="23"/>
        <v>0.70500000000000007</v>
      </c>
      <c r="J175" s="33">
        <v>0.29499999999999998</v>
      </c>
      <c r="K175" s="33">
        <f t="shared" si="21"/>
        <v>0.6825</v>
      </c>
      <c r="L175" s="33">
        <v>0.3</v>
      </c>
      <c r="M175" s="35">
        <v>1.7500000000000002E-2</v>
      </c>
      <c r="N175" s="34" t="s">
        <v>24</v>
      </c>
      <c r="O175" s="69"/>
      <c r="P175" s="69"/>
      <c r="Q175" s="8">
        <f t="shared" si="17"/>
        <v>9.424308510638296</v>
      </c>
      <c r="R175" s="8">
        <f t="shared" si="18"/>
        <v>4.1425531914893607</v>
      </c>
      <c r="S175" s="8">
        <f t="shared" si="19"/>
        <v>0.24164893617021274</v>
      </c>
    </row>
    <row r="176" spans="1:19" x14ac:dyDescent="0.25">
      <c r="A176" s="1" t="s">
        <v>380</v>
      </c>
      <c r="B176" s="3">
        <v>3030</v>
      </c>
      <c r="C176" s="1" t="s">
        <v>14</v>
      </c>
      <c r="D176" s="3" t="s">
        <v>82</v>
      </c>
      <c r="E176" s="3" t="s">
        <v>20</v>
      </c>
      <c r="F176" s="3" t="s">
        <v>376</v>
      </c>
      <c r="G176" s="3" t="s">
        <v>259</v>
      </c>
      <c r="H176" s="3">
        <v>70</v>
      </c>
      <c r="I176" s="32">
        <f t="shared" si="23"/>
        <v>0.8</v>
      </c>
      <c r="J176" s="33">
        <v>0.2</v>
      </c>
      <c r="K176" s="33">
        <f t="shared" si="21"/>
        <v>0.95014925373134329</v>
      </c>
      <c r="L176" s="33">
        <v>0.02</v>
      </c>
      <c r="M176" s="33">
        <v>2.9850746268656716E-2</v>
      </c>
      <c r="N176" s="34" t="s">
        <v>6</v>
      </c>
      <c r="O176" s="69"/>
      <c r="P176" s="69"/>
      <c r="Q176" s="8">
        <f t="shared" si="17"/>
        <v>7.8387313432835821</v>
      </c>
      <c r="R176" s="8">
        <f t="shared" si="18"/>
        <v>0.16500000000000001</v>
      </c>
      <c r="S176" s="8">
        <f t="shared" si="19"/>
        <v>0.2462686567164179</v>
      </c>
    </row>
    <row r="177" spans="1:19" x14ac:dyDescent="0.25">
      <c r="A177" s="26" t="s">
        <v>74</v>
      </c>
      <c r="B177" s="3">
        <v>5050</v>
      </c>
      <c r="C177" s="1" t="s">
        <v>1</v>
      </c>
      <c r="D177" s="3" t="s">
        <v>15</v>
      </c>
      <c r="E177" s="3" t="s">
        <v>51</v>
      </c>
      <c r="F177" s="3" t="s">
        <v>52</v>
      </c>
      <c r="G177" s="3" t="s">
        <v>5</v>
      </c>
      <c r="H177" s="3">
        <v>80</v>
      </c>
      <c r="I177" s="32">
        <f t="shared" si="23"/>
        <v>0.59000000000000008</v>
      </c>
      <c r="J177" s="33">
        <v>0.41</v>
      </c>
      <c r="K177" s="33">
        <f t="shared" si="21"/>
        <v>0.90749999999999997</v>
      </c>
      <c r="L177" s="36">
        <v>0.02</v>
      </c>
      <c r="M177" s="36">
        <v>7.2499999999999995E-2</v>
      </c>
      <c r="N177" s="34" t="s">
        <v>24</v>
      </c>
      <c r="O177" s="69"/>
      <c r="P177" s="69"/>
      <c r="Q177" s="8">
        <f t="shared" si="17"/>
        <v>20.810974576271178</v>
      </c>
      <c r="R177" s="8">
        <f t="shared" si="18"/>
        <v>0.45864406779661004</v>
      </c>
      <c r="S177" s="8">
        <f t="shared" si="19"/>
        <v>1.6625847457627112</v>
      </c>
    </row>
    <row r="178" spans="1:19" ht="15" customHeight="1" x14ac:dyDescent="0.25">
      <c r="A178" s="26" t="s">
        <v>381</v>
      </c>
      <c r="B178" s="3">
        <v>5050</v>
      </c>
      <c r="C178" s="1" t="s">
        <v>1</v>
      </c>
      <c r="D178" s="3" t="s">
        <v>15</v>
      </c>
      <c r="E178" s="3" t="s">
        <v>51</v>
      </c>
      <c r="F178" s="3" t="s">
        <v>52</v>
      </c>
      <c r="G178" s="3" t="s">
        <v>8</v>
      </c>
      <c r="H178" s="3">
        <v>70</v>
      </c>
      <c r="I178" s="32">
        <f t="shared" si="23"/>
        <v>0.65</v>
      </c>
      <c r="J178" s="33">
        <v>0.35</v>
      </c>
      <c r="K178" s="33">
        <f t="shared" si="21"/>
        <v>0.64799999999999991</v>
      </c>
      <c r="L178" s="36">
        <v>0.3</v>
      </c>
      <c r="M178" s="36">
        <v>5.1999999999999998E-2</v>
      </c>
      <c r="N178" s="34" t="s">
        <v>266</v>
      </c>
      <c r="O178" s="69"/>
      <c r="P178" s="69"/>
      <c r="Q178" s="8">
        <f t="shared" si="17"/>
        <v>11.514461538461536</v>
      </c>
      <c r="R178" s="8">
        <f t="shared" si="18"/>
        <v>5.3307692307692296</v>
      </c>
      <c r="S178" s="8">
        <f t="shared" si="19"/>
        <v>0.92399999999999982</v>
      </c>
    </row>
    <row r="179" spans="1:19" x14ac:dyDescent="0.25">
      <c r="A179" s="1" t="s">
        <v>382</v>
      </c>
      <c r="B179" s="2">
        <v>2835</v>
      </c>
      <c r="C179" s="1" t="s">
        <v>1</v>
      </c>
      <c r="D179" s="2" t="s">
        <v>383</v>
      </c>
      <c r="E179" s="2" t="s">
        <v>3</v>
      </c>
      <c r="F179" s="2" t="s">
        <v>4</v>
      </c>
      <c r="G179" s="2" t="s">
        <v>10</v>
      </c>
      <c r="H179" s="3">
        <v>90</v>
      </c>
      <c r="I179" s="4">
        <f t="shared" si="23"/>
        <v>0.49</v>
      </c>
      <c r="J179" s="9">
        <v>0.51</v>
      </c>
      <c r="K179" s="5">
        <f t="shared" si="21"/>
        <v>0.90839999999999999</v>
      </c>
      <c r="L179" s="9">
        <v>0</v>
      </c>
      <c r="M179" s="9">
        <v>9.1600000000000001E-2</v>
      </c>
      <c r="N179" s="6" t="s">
        <v>24</v>
      </c>
      <c r="O179" s="69"/>
      <c r="P179" s="69"/>
      <c r="Q179" s="8">
        <f t="shared" si="17"/>
        <v>31.200759183673476</v>
      </c>
      <c r="R179" s="8">
        <f t="shared" si="18"/>
        <v>0</v>
      </c>
      <c r="S179" s="8">
        <f t="shared" si="19"/>
        <v>3.1461795918367352</v>
      </c>
    </row>
    <row r="180" spans="1:19" ht="15" customHeight="1" x14ac:dyDescent="0.25">
      <c r="A180" s="1" t="s">
        <v>384</v>
      </c>
      <c r="B180" s="3">
        <v>2835</v>
      </c>
      <c r="C180" s="1" t="s">
        <v>1</v>
      </c>
      <c r="D180" s="3" t="s">
        <v>15</v>
      </c>
      <c r="E180" s="3" t="s">
        <v>3</v>
      </c>
      <c r="F180" s="3" t="s">
        <v>4</v>
      </c>
      <c r="G180" s="3" t="s">
        <v>12</v>
      </c>
      <c r="H180" s="3">
        <v>80</v>
      </c>
      <c r="I180" s="32">
        <f t="shared" si="23"/>
        <v>0.7</v>
      </c>
      <c r="J180" s="33">
        <v>0.3</v>
      </c>
      <c r="K180" s="33">
        <f t="shared" si="21"/>
        <v>0.65</v>
      </c>
      <c r="L180" s="33">
        <v>0.311</v>
      </c>
      <c r="M180" s="33">
        <v>3.9E-2</v>
      </c>
      <c r="N180" s="34" t="s">
        <v>266</v>
      </c>
      <c r="O180" s="69"/>
      <c r="P180" s="69"/>
      <c r="Q180" s="8">
        <f t="shared" si="17"/>
        <v>9.1928571428571448</v>
      </c>
      <c r="R180" s="8">
        <f t="shared" si="18"/>
        <v>4.398428571428572</v>
      </c>
      <c r="S180" s="8">
        <f t="shared" si="19"/>
        <v>0.5515714285714286</v>
      </c>
    </row>
    <row r="181" spans="1:19" ht="15" customHeight="1" x14ac:dyDescent="0.25">
      <c r="A181" s="1" t="s">
        <v>132</v>
      </c>
      <c r="B181" s="3">
        <v>2835</v>
      </c>
      <c r="C181" s="1" t="s">
        <v>1</v>
      </c>
      <c r="D181" s="3" t="s">
        <v>15</v>
      </c>
      <c r="E181" s="3" t="s">
        <v>3</v>
      </c>
      <c r="F181" s="3" t="s">
        <v>4</v>
      </c>
      <c r="G181" s="3" t="s">
        <v>10</v>
      </c>
      <c r="H181" s="3">
        <v>80</v>
      </c>
      <c r="I181" s="32">
        <f t="shared" si="23"/>
        <v>0.65500000000000003</v>
      </c>
      <c r="J181" s="33">
        <v>0.34499999999999997</v>
      </c>
      <c r="K181" s="33">
        <f t="shared" si="21"/>
        <v>0.45400000000000001</v>
      </c>
      <c r="L181" s="33">
        <v>0.5</v>
      </c>
      <c r="M181" s="33">
        <v>4.5999999999999999E-2</v>
      </c>
      <c r="N181" s="34" t="s">
        <v>24</v>
      </c>
      <c r="O181" s="69"/>
      <c r="P181" s="69"/>
      <c r="Q181" s="8">
        <f t="shared" si="17"/>
        <v>7.891282442748091</v>
      </c>
      <c r="R181" s="8">
        <f t="shared" si="18"/>
        <v>8.6908396946564874</v>
      </c>
      <c r="S181" s="8">
        <f t="shared" si="19"/>
        <v>0.79955725190839688</v>
      </c>
    </row>
    <row r="182" spans="1:19" x14ac:dyDescent="0.25">
      <c r="A182" s="1" t="s">
        <v>267</v>
      </c>
      <c r="B182" s="2">
        <v>2835</v>
      </c>
      <c r="C182" s="1" t="s">
        <v>1</v>
      </c>
      <c r="D182" s="2" t="s">
        <v>15</v>
      </c>
      <c r="E182" s="2" t="s">
        <v>3</v>
      </c>
      <c r="F182" s="2" t="s">
        <v>4</v>
      </c>
      <c r="G182" s="2" t="s">
        <v>10</v>
      </c>
      <c r="H182" s="3">
        <v>90</v>
      </c>
      <c r="I182" s="4">
        <f t="shared" si="23"/>
        <v>0.47499999999999998</v>
      </c>
      <c r="J182" s="9">
        <v>0.52500000000000002</v>
      </c>
      <c r="K182" s="5">
        <f t="shared" si="21"/>
        <v>0.91</v>
      </c>
      <c r="L182" s="9">
        <v>0</v>
      </c>
      <c r="M182" s="9">
        <v>0.09</v>
      </c>
      <c r="N182" s="6" t="s">
        <v>24</v>
      </c>
      <c r="O182" s="69"/>
      <c r="P182" s="69"/>
      <c r="Q182" s="8">
        <f t="shared" si="17"/>
        <v>33.191052631578948</v>
      </c>
      <c r="R182" s="8">
        <f t="shared" si="18"/>
        <v>0</v>
      </c>
      <c r="S182" s="8">
        <f t="shared" si="19"/>
        <v>3.2826315789473681</v>
      </c>
    </row>
    <row r="183" spans="1:19" ht="13.5" customHeight="1" x14ac:dyDescent="0.25">
      <c r="A183" s="1" t="s">
        <v>385</v>
      </c>
      <c r="B183" s="2">
        <v>2835</v>
      </c>
      <c r="C183" s="1" t="s">
        <v>1</v>
      </c>
      <c r="D183" s="2" t="s">
        <v>15</v>
      </c>
      <c r="E183" s="2" t="s">
        <v>3</v>
      </c>
      <c r="F183" s="2" t="s">
        <v>4</v>
      </c>
      <c r="G183" s="2" t="s">
        <v>12</v>
      </c>
      <c r="H183" s="3">
        <v>90</v>
      </c>
      <c r="I183" s="4">
        <f t="shared" si="23"/>
        <v>0.54499999999999993</v>
      </c>
      <c r="J183" s="9">
        <v>0.45500000000000002</v>
      </c>
      <c r="K183" s="5">
        <f t="shared" si="21"/>
        <v>0.34499999999999997</v>
      </c>
      <c r="L183" s="9">
        <v>0.02</v>
      </c>
      <c r="M183" s="9">
        <v>0.63500000000000001</v>
      </c>
      <c r="N183" s="6" t="s">
        <v>266</v>
      </c>
      <c r="O183" s="69"/>
      <c r="P183" s="69"/>
      <c r="Q183" s="8">
        <f t="shared" si="17"/>
        <v>9.5049082568807357</v>
      </c>
      <c r="R183" s="8">
        <f t="shared" si="18"/>
        <v>0.55100917431192675</v>
      </c>
      <c r="S183" s="8">
        <f t="shared" si="19"/>
        <v>17.494541284403674</v>
      </c>
    </row>
    <row r="184" spans="1:19" ht="13.5" customHeight="1" x14ac:dyDescent="0.25">
      <c r="A184" s="1" t="s">
        <v>386</v>
      </c>
      <c r="B184" s="2">
        <v>2835</v>
      </c>
      <c r="C184" s="1" t="s">
        <v>1</v>
      </c>
      <c r="D184" s="2" t="s">
        <v>15</v>
      </c>
      <c r="E184" s="2" t="s">
        <v>3</v>
      </c>
      <c r="F184" s="2" t="s">
        <v>4</v>
      </c>
      <c r="G184" s="2" t="s">
        <v>8</v>
      </c>
      <c r="H184" s="3">
        <v>90</v>
      </c>
      <c r="I184" s="4">
        <f t="shared" si="23"/>
        <v>0.42000000000000004</v>
      </c>
      <c r="J184" s="9">
        <v>0.57999999999999996</v>
      </c>
      <c r="K184" s="5">
        <f t="shared" si="21"/>
        <v>0.89749999999999996</v>
      </c>
      <c r="L184" s="9">
        <v>0</v>
      </c>
      <c r="M184" s="9">
        <v>0.10249999999999999</v>
      </c>
      <c r="N184" s="6" t="s">
        <v>266</v>
      </c>
      <c r="O184" s="69"/>
      <c r="P184" s="69"/>
      <c r="Q184" s="8">
        <f t="shared" si="17"/>
        <v>40.900357142857139</v>
      </c>
      <c r="R184" s="8">
        <f t="shared" si="18"/>
        <v>0</v>
      </c>
      <c r="S184" s="8">
        <f t="shared" si="19"/>
        <v>4.6710714285714277</v>
      </c>
    </row>
    <row r="185" spans="1:19" ht="15" customHeight="1" x14ac:dyDescent="0.25">
      <c r="A185" s="1" t="s">
        <v>387</v>
      </c>
      <c r="B185" s="3">
        <v>2835</v>
      </c>
      <c r="C185" s="1" t="s">
        <v>1</v>
      </c>
      <c r="D185" s="3" t="s">
        <v>15</v>
      </c>
      <c r="E185" s="3" t="s">
        <v>3</v>
      </c>
      <c r="F185" s="3" t="s">
        <v>4</v>
      </c>
      <c r="G185" s="3" t="s">
        <v>10</v>
      </c>
      <c r="H185" s="3">
        <v>70</v>
      </c>
      <c r="I185" s="32">
        <f t="shared" si="23"/>
        <v>0.69</v>
      </c>
      <c r="J185" s="33">
        <v>0.31</v>
      </c>
      <c r="K185" s="33">
        <f t="shared" si="21"/>
        <v>0.71250000000000002</v>
      </c>
      <c r="L185" s="33">
        <v>0.25</v>
      </c>
      <c r="M185" s="33">
        <v>3.7499999999999999E-2</v>
      </c>
      <c r="N185" s="34" t="s">
        <v>266</v>
      </c>
      <c r="O185" s="69"/>
      <c r="P185" s="69"/>
      <c r="Q185" s="8">
        <f t="shared" si="17"/>
        <v>10.563586956521741</v>
      </c>
      <c r="R185" s="8">
        <f t="shared" si="18"/>
        <v>3.706521739130435</v>
      </c>
      <c r="S185" s="8">
        <f t="shared" si="19"/>
        <v>0.55597826086956526</v>
      </c>
    </row>
    <row r="186" spans="1:19" ht="15" customHeight="1" x14ac:dyDescent="0.25">
      <c r="A186" s="1" t="s">
        <v>388</v>
      </c>
      <c r="B186" s="3">
        <v>2835</v>
      </c>
      <c r="C186" s="1" t="s">
        <v>1</v>
      </c>
      <c r="D186" s="3" t="s">
        <v>306</v>
      </c>
      <c r="E186" s="3" t="s">
        <v>389</v>
      </c>
      <c r="F186" s="3" t="s">
        <v>390</v>
      </c>
      <c r="G186" s="3" t="s">
        <v>10</v>
      </c>
      <c r="H186" s="3">
        <v>80</v>
      </c>
      <c r="I186" s="32">
        <f t="shared" si="23"/>
        <v>0.65</v>
      </c>
      <c r="J186" s="33">
        <v>0.35</v>
      </c>
      <c r="K186" s="33">
        <f t="shared" si="21"/>
        <v>0.70199999999999996</v>
      </c>
      <c r="L186" s="33">
        <v>0.25</v>
      </c>
      <c r="M186" s="33">
        <v>4.8000000000000001E-2</v>
      </c>
      <c r="N186" s="34" t="s">
        <v>24</v>
      </c>
      <c r="O186" s="69"/>
      <c r="P186" s="69"/>
      <c r="Q186" s="8">
        <f t="shared" si="17"/>
        <v>12.473999999999997</v>
      </c>
      <c r="R186" s="8">
        <f t="shared" si="18"/>
        <v>4.4423076923076916</v>
      </c>
      <c r="S186" s="8">
        <f t="shared" si="19"/>
        <v>0.85292307692307678</v>
      </c>
    </row>
    <row r="187" spans="1:19" ht="15" customHeight="1" x14ac:dyDescent="0.25">
      <c r="A187" s="1" t="s">
        <v>391</v>
      </c>
      <c r="B187" s="3">
        <v>2835</v>
      </c>
      <c r="C187" s="1" t="s">
        <v>1</v>
      </c>
      <c r="D187" s="3" t="s">
        <v>306</v>
      </c>
      <c r="E187" s="3" t="s">
        <v>20</v>
      </c>
      <c r="F187" s="3" t="s">
        <v>21</v>
      </c>
      <c r="G187" s="3" t="s">
        <v>10</v>
      </c>
      <c r="H187" s="3">
        <v>80</v>
      </c>
      <c r="I187" s="32">
        <f t="shared" si="23"/>
        <v>0.62</v>
      </c>
      <c r="J187" s="33">
        <v>0.38</v>
      </c>
      <c r="K187" s="33">
        <f t="shared" si="21"/>
        <v>0.70699999999999996</v>
      </c>
      <c r="L187" s="33">
        <v>0.25</v>
      </c>
      <c r="M187" s="33">
        <v>4.2999999999999997E-2</v>
      </c>
      <c r="N187" s="34" t="s">
        <v>266</v>
      </c>
      <c r="O187" s="69"/>
      <c r="P187" s="69"/>
      <c r="Q187" s="8">
        <f t="shared" si="17"/>
        <v>14.299645161290321</v>
      </c>
      <c r="R187" s="8">
        <f t="shared" si="18"/>
        <v>5.056451612903226</v>
      </c>
      <c r="S187" s="8">
        <f t="shared" si="19"/>
        <v>0.86970967741935479</v>
      </c>
    </row>
    <row r="188" spans="1:19" ht="15" customHeight="1" x14ac:dyDescent="0.25">
      <c r="A188" s="1" t="s">
        <v>392</v>
      </c>
      <c r="B188" s="3">
        <v>2835</v>
      </c>
      <c r="C188" s="1" t="s">
        <v>1</v>
      </c>
      <c r="D188" s="3" t="s">
        <v>393</v>
      </c>
      <c r="E188" s="3" t="s">
        <v>20</v>
      </c>
      <c r="F188" s="3" t="s">
        <v>21</v>
      </c>
      <c r="G188" s="3" t="s">
        <v>10</v>
      </c>
      <c r="H188" s="3">
        <v>80</v>
      </c>
      <c r="I188" s="32">
        <f t="shared" si="23"/>
        <v>0.65</v>
      </c>
      <c r="J188" s="33">
        <v>0.35</v>
      </c>
      <c r="K188" s="33">
        <f t="shared" si="21"/>
        <v>0.70199999999999996</v>
      </c>
      <c r="L188" s="33">
        <v>0.25</v>
      </c>
      <c r="M188" s="33">
        <v>4.8000000000000001E-2</v>
      </c>
      <c r="N188" s="34" t="s">
        <v>24</v>
      </c>
      <c r="O188" s="69"/>
      <c r="P188" s="69"/>
      <c r="Q188" s="8">
        <f t="shared" si="17"/>
        <v>12.473999999999997</v>
      </c>
      <c r="R188" s="8">
        <f t="shared" si="18"/>
        <v>4.4423076923076916</v>
      </c>
      <c r="S188" s="8">
        <f t="shared" si="19"/>
        <v>0.85292307692307678</v>
      </c>
    </row>
    <row r="189" spans="1:19" x14ac:dyDescent="0.25">
      <c r="A189" s="26" t="s">
        <v>135</v>
      </c>
      <c r="B189" s="3">
        <v>5050</v>
      </c>
      <c r="C189" s="1" t="s">
        <v>1</v>
      </c>
      <c r="D189" s="3" t="s">
        <v>15</v>
      </c>
      <c r="E189" s="3" t="s">
        <v>51</v>
      </c>
      <c r="F189" s="3" t="s">
        <v>52</v>
      </c>
      <c r="G189" s="3" t="s">
        <v>12</v>
      </c>
      <c r="H189" s="3">
        <v>70</v>
      </c>
      <c r="I189" s="32">
        <f t="shared" si="23"/>
        <v>0.81</v>
      </c>
      <c r="J189" s="33">
        <v>0.19</v>
      </c>
      <c r="K189" s="33">
        <f t="shared" si="21"/>
        <v>0.57399999999999995</v>
      </c>
      <c r="L189" s="36">
        <v>0.4</v>
      </c>
      <c r="M189" s="36">
        <v>2.5999999999999999E-2</v>
      </c>
      <c r="N189" s="34" t="s">
        <v>24</v>
      </c>
      <c r="O189" s="69"/>
      <c r="P189" s="69"/>
      <c r="Q189" s="8">
        <f t="shared" si="17"/>
        <v>4.4431851851851851</v>
      </c>
      <c r="R189" s="8">
        <f t="shared" si="18"/>
        <v>3.0962962962962965</v>
      </c>
      <c r="S189" s="8">
        <f t="shared" si="19"/>
        <v>0.20125925925925925</v>
      </c>
    </row>
    <row r="190" spans="1:19" x14ac:dyDescent="0.25">
      <c r="A190" s="26" t="s">
        <v>134</v>
      </c>
      <c r="B190" s="3">
        <v>5050</v>
      </c>
      <c r="C190" s="1" t="s">
        <v>1</v>
      </c>
      <c r="D190" s="3" t="s">
        <v>15</v>
      </c>
      <c r="E190" s="3" t="s">
        <v>51</v>
      </c>
      <c r="F190" s="3" t="s">
        <v>52</v>
      </c>
      <c r="G190" s="3" t="s">
        <v>12</v>
      </c>
      <c r="H190" s="3">
        <v>80</v>
      </c>
      <c r="I190" s="32">
        <f t="shared" si="23"/>
        <v>0.755</v>
      </c>
      <c r="J190" s="33">
        <v>0.245</v>
      </c>
      <c r="K190" s="33">
        <f t="shared" si="21"/>
        <v>0.65649999999999997</v>
      </c>
      <c r="L190" s="36">
        <v>0.3</v>
      </c>
      <c r="M190" s="36">
        <v>4.3499999999999997E-2</v>
      </c>
      <c r="N190" s="34" t="s">
        <v>24</v>
      </c>
      <c r="O190" s="69"/>
      <c r="P190" s="69"/>
      <c r="Q190" s="8">
        <f t="shared" si="17"/>
        <v>7.0302019867549665</v>
      </c>
      <c r="R190" s="8">
        <f t="shared" si="18"/>
        <v>3.2125827814569532</v>
      </c>
      <c r="S190" s="8">
        <f t="shared" si="19"/>
        <v>0.46582450331125824</v>
      </c>
    </row>
    <row r="191" spans="1:19" ht="15" customHeight="1" x14ac:dyDescent="0.25">
      <c r="A191" s="1" t="s">
        <v>394</v>
      </c>
      <c r="B191" s="3">
        <v>2835</v>
      </c>
      <c r="C191" s="1" t="s">
        <v>1</v>
      </c>
      <c r="D191" s="3" t="s">
        <v>393</v>
      </c>
      <c r="E191" s="3" t="s">
        <v>3</v>
      </c>
      <c r="F191" s="3" t="s">
        <v>4</v>
      </c>
      <c r="G191" s="3" t="s">
        <v>10</v>
      </c>
      <c r="H191" s="3">
        <v>80</v>
      </c>
      <c r="I191" s="32">
        <f t="shared" si="23"/>
        <v>0.61</v>
      </c>
      <c r="J191" s="33">
        <v>0.39</v>
      </c>
      <c r="K191" s="33">
        <f t="shared" si="21"/>
        <v>0.70699999999999996</v>
      </c>
      <c r="L191" s="33">
        <v>0.25</v>
      </c>
      <c r="M191" s="33">
        <v>4.2999999999999997E-2</v>
      </c>
      <c r="N191" s="34" t="s">
        <v>24</v>
      </c>
      <c r="O191" s="69"/>
      <c r="P191" s="69"/>
      <c r="Q191" s="8">
        <f t="shared" si="17"/>
        <v>14.916540983606557</v>
      </c>
      <c r="R191" s="8">
        <f t="shared" si="18"/>
        <v>5.2745901639344268</v>
      </c>
      <c r="S191" s="8">
        <f t="shared" si="19"/>
        <v>0.90722950819672132</v>
      </c>
    </row>
    <row r="192" spans="1:19" ht="15" customHeight="1" x14ac:dyDescent="0.25">
      <c r="A192" s="1" t="s">
        <v>395</v>
      </c>
      <c r="B192" s="3">
        <v>2835</v>
      </c>
      <c r="C192" s="1" t="s">
        <v>1</v>
      </c>
      <c r="D192" s="3" t="s">
        <v>306</v>
      </c>
      <c r="E192" s="3" t="s">
        <v>20</v>
      </c>
      <c r="F192" s="3" t="s">
        <v>396</v>
      </c>
      <c r="G192" s="3" t="s">
        <v>10</v>
      </c>
      <c r="H192" s="3">
        <v>80</v>
      </c>
      <c r="I192" s="32">
        <f t="shared" si="23"/>
        <v>0.62</v>
      </c>
      <c r="J192" s="33">
        <v>0.38</v>
      </c>
      <c r="K192" s="33">
        <f t="shared" si="21"/>
        <v>0.70499999999999996</v>
      </c>
      <c r="L192" s="33">
        <v>0.25</v>
      </c>
      <c r="M192" s="33">
        <v>4.4999999999999998E-2</v>
      </c>
      <c r="N192" s="34" t="s">
        <v>266</v>
      </c>
      <c r="O192" s="69"/>
      <c r="P192" s="69"/>
      <c r="Q192" s="8">
        <f t="shared" si="17"/>
        <v>14.259193548387097</v>
      </c>
      <c r="R192" s="8">
        <f t="shared" si="18"/>
        <v>5.056451612903226</v>
      </c>
      <c r="S192" s="8">
        <f t="shared" si="19"/>
        <v>0.91016129032258064</v>
      </c>
    </row>
    <row r="193" spans="1:19" ht="15" customHeight="1" x14ac:dyDescent="0.25">
      <c r="A193" s="1" t="s">
        <v>397</v>
      </c>
      <c r="B193" s="19">
        <v>3030</v>
      </c>
      <c r="C193" s="1" t="s">
        <v>14</v>
      </c>
      <c r="D193" s="19" t="s">
        <v>15</v>
      </c>
      <c r="E193" s="19" t="s">
        <v>20</v>
      </c>
      <c r="F193" s="19" t="s">
        <v>21</v>
      </c>
      <c r="G193" s="19" t="s">
        <v>8</v>
      </c>
      <c r="H193" s="3">
        <v>90</v>
      </c>
      <c r="I193" s="20">
        <f t="shared" si="23"/>
        <v>0.41000000000000003</v>
      </c>
      <c r="J193" s="16">
        <v>0.59</v>
      </c>
      <c r="K193" s="21">
        <f t="shared" si="21"/>
        <v>0.88849999999999996</v>
      </c>
      <c r="L193" s="22">
        <v>0</v>
      </c>
      <c r="M193" s="22">
        <v>0.1115</v>
      </c>
      <c r="N193" s="18" t="s">
        <v>24</v>
      </c>
      <c r="O193" s="69"/>
      <c r="P193" s="69"/>
      <c r="Q193" s="8">
        <f t="shared" si="17"/>
        <v>42.192914634146334</v>
      </c>
      <c r="R193" s="8">
        <f t="shared" si="18"/>
        <v>0</v>
      </c>
      <c r="S193" s="8">
        <f t="shared" si="19"/>
        <v>5.2948902439024383</v>
      </c>
    </row>
    <row r="194" spans="1:19" x14ac:dyDescent="0.25">
      <c r="A194" s="26" t="s">
        <v>398</v>
      </c>
      <c r="B194" s="2">
        <v>5050</v>
      </c>
      <c r="C194" s="26" t="s">
        <v>14</v>
      </c>
      <c r="D194" s="2" t="s">
        <v>15</v>
      </c>
      <c r="E194" s="2" t="s">
        <v>33</v>
      </c>
      <c r="F194" s="2" t="s">
        <v>36</v>
      </c>
      <c r="G194" s="2" t="s">
        <v>10</v>
      </c>
      <c r="H194" s="3">
        <v>90</v>
      </c>
      <c r="I194" s="4">
        <f t="shared" si="23"/>
        <v>0.47499999999999998</v>
      </c>
      <c r="J194" s="9">
        <v>0.52500000000000002</v>
      </c>
      <c r="K194" s="5">
        <f t="shared" si="21"/>
        <v>0.91</v>
      </c>
      <c r="L194" s="24">
        <v>0</v>
      </c>
      <c r="M194" s="24">
        <v>0.09</v>
      </c>
      <c r="N194" s="6" t="s">
        <v>24</v>
      </c>
      <c r="O194" s="69"/>
      <c r="P194" s="69"/>
      <c r="Q194" s="8">
        <f t="shared" si="17"/>
        <v>33.191052631578948</v>
      </c>
      <c r="R194" s="8">
        <f t="shared" si="18"/>
        <v>0</v>
      </c>
      <c r="S194" s="8">
        <f t="shared" si="19"/>
        <v>3.2826315789473681</v>
      </c>
    </row>
    <row r="195" spans="1:19" x14ac:dyDescent="0.25">
      <c r="A195" s="1" t="s">
        <v>399</v>
      </c>
      <c r="B195" s="19">
        <v>3030</v>
      </c>
      <c r="C195" s="1" t="s">
        <v>14</v>
      </c>
      <c r="D195" s="19" t="s">
        <v>15</v>
      </c>
      <c r="E195" s="19" t="s">
        <v>20</v>
      </c>
      <c r="F195" s="19" t="s">
        <v>21</v>
      </c>
      <c r="G195" s="19" t="s">
        <v>10</v>
      </c>
      <c r="H195" s="3">
        <v>90</v>
      </c>
      <c r="I195" s="20">
        <f>100%-J195</f>
        <v>0.505</v>
      </c>
      <c r="J195" s="21">
        <v>0.495</v>
      </c>
      <c r="K195" s="21">
        <f t="shared" si="21"/>
        <v>0.90200000000000002</v>
      </c>
      <c r="L195" s="21">
        <v>0</v>
      </c>
      <c r="M195" s="21">
        <v>9.8000000000000004E-2</v>
      </c>
      <c r="N195" s="18" t="s">
        <v>44</v>
      </c>
      <c r="O195" s="69"/>
      <c r="P195" s="69"/>
      <c r="Q195" s="8">
        <f t="shared" si="17"/>
        <v>29.176574257425738</v>
      </c>
      <c r="R195" s="8">
        <f t="shared" si="18"/>
        <v>0</v>
      </c>
      <c r="S195" s="8">
        <f t="shared" si="19"/>
        <v>3.1699603960396034</v>
      </c>
    </row>
    <row r="196" spans="1:19" x14ac:dyDescent="0.25">
      <c r="A196" s="26" t="s">
        <v>400</v>
      </c>
      <c r="B196" s="3">
        <v>5050</v>
      </c>
      <c r="C196" s="1" t="s">
        <v>14</v>
      </c>
      <c r="D196" s="3" t="s">
        <v>393</v>
      </c>
      <c r="E196" s="3" t="s">
        <v>33</v>
      </c>
      <c r="F196" s="3" t="s">
        <v>36</v>
      </c>
      <c r="G196" s="3" t="s">
        <v>10</v>
      </c>
      <c r="H196" s="3">
        <v>70</v>
      </c>
      <c r="I196" s="32">
        <f t="shared" ref="I196:I198" si="24">100%-J196</f>
        <v>0.67999999999999994</v>
      </c>
      <c r="J196" s="35">
        <v>0.32</v>
      </c>
      <c r="K196" s="33">
        <f t="shared" si="21"/>
        <v>0.56599999999999995</v>
      </c>
      <c r="L196" s="35">
        <v>0.4</v>
      </c>
      <c r="M196" s="35">
        <v>3.4000000000000002E-2</v>
      </c>
      <c r="N196" s="34" t="s">
        <v>24</v>
      </c>
      <c r="O196" s="69"/>
      <c r="P196" s="69"/>
      <c r="Q196" s="8">
        <f t="shared" ref="Q196:Q204" si="25">($O$3+$P$3)/I196*J196*K196</f>
        <v>8.7896470588235296</v>
      </c>
      <c r="R196" s="8">
        <f t="shared" ref="R196:R204" si="26">($O$3+$P$3)/I196*J196*L196</f>
        <v>6.211764705882354</v>
      </c>
      <c r="S196" s="8">
        <f t="shared" ref="S196:S204" si="27">($O$3+$P$3)/I196*J196*M196</f>
        <v>0.52800000000000014</v>
      </c>
    </row>
    <row r="197" spans="1:19" x14ac:dyDescent="0.25">
      <c r="A197" s="26" t="s">
        <v>401</v>
      </c>
      <c r="B197" s="2">
        <v>5050</v>
      </c>
      <c r="C197" s="26" t="s">
        <v>14</v>
      </c>
      <c r="D197" s="2" t="s">
        <v>393</v>
      </c>
      <c r="E197" s="2" t="s">
        <v>33</v>
      </c>
      <c r="F197" s="2" t="s">
        <v>36</v>
      </c>
      <c r="G197" s="2" t="s">
        <v>10</v>
      </c>
      <c r="H197" s="3">
        <v>80</v>
      </c>
      <c r="I197" s="4">
        <f t="shared" si="24"/>
        <v>0.65</v>
      </c>
      <c r="J197" s="9">
        <v>0.35</v>
      </c>
      <c r="K197" s="5">
        <f t="shared" si="21"/>
        <v>0.89799999999999991</v>
      </c>
      <c r="L197" s="24">
        <v>0.05</v>
      </c>
      <c r="M197" s="24">
        <v>5.1999999999999998E-2</v>
      </c>
      <c r="N197" s="6" t="s">
        <v>24</v>
      </c>
      <c r="O197" s="69"/>
      <c r="P197" s="69"/>
      <c r="Q197" s="8">
        <f t="shared" si="25"/>
        <v>15.956769230769227</v>
      </c>
      <c r="R197" s="8">
        <f t="shared" si="26"/>
        <v>0.88846153846153841</v>
      </c>
      <c r="S197" s="8">
        <f t="shared" si="27"/>
        <v>0.92399999999999982</v>
      </c>
    </row>
    <row r="198" spans="1:19" ht="14.25" customHeight="1" x14ac:dyDescent="0.25">
      <c r="A198" s="1" t="s">
        <v>402</v>
      </c>
      <c r="B198" s="3">
        <v>2835</v>
      </c>
      <c r="C198" s="1" t="s">
        <v>1</v>
      </c>
      <c r="D198" s="3" t="s">
        <v>403</v>
      </c>
      <c r="E198" s="3" t="s">
        <v>20</v>
      </c>
      <c r="F198" s="3" t="s">
        <v>21</v>
      </c>
      <c r="G198" s="3" t="s">
        <v>10</v>
      </c>
      <c r="H198" s="3">
        <v>80</v>
      </c>
      <c r="I198" s="32">
        <f t="shared" si="24"/>
        <v>0.64</v>
      </c>
      <c r="J198" s="33">
        <v>0.36</v>
      </c>
      <c r="K198" s="33">
        <f t="shared" si="21"/>
        <v>0.7</v>
      </c>
      <c r="L198" s="33">
        <v>0.25</v>
      </c>
      <c r="M198" s="33">
        <v>0.05</v>
      </c>
      <c r="N198" s="34" t="s">
        <v>24</v>
      </c>
      <c r="O198" s="69"/>
      <c r="P198" s="69"/>
      <c r="Q198" s="8">
        <f t="shared" si="25"/>
        <v>12.993749999999999</v>
      </c>
      <c r="R198" s="8">
        <f t="shared" si="26"/>
        <v>4.640625</v>
      </c>
      <c r="S198" s="8">
        <f t="shared" si="27"/>
        <v>0.92812500000000009</v>
      </c>
    </row>
    <row r="199" spans="1:19" x14ac:dyDescent="0.25">
      <c r="A199" s="26" t="s">
        <v>404</v>
      </c>
      <c r="B199" s="27">
        <v>5050</v>
      </c>
      <c r="C199" s="1" t="s">
        <v>1</v>
      </c>
      <c r="D199" s="3" t="s">
        <v>405</v>
      </c>
      <c r="E199" s="27" t="s">
        <v>33</v>
      </c>
      <c r="F199" s="27" t="s">
        <v>36</v>
      </c>
      <c r="G199" s="27" t="s">
        <v>12</v>
      </c>
      <c r="H199" s="3">
        <v>80</v>
      </c>
      <c r="I199" s="28">
        <f>100%-J199</f>
        <v>0.72499999999999998</v>
      </c>
      <c r="J199" s="29">
        <v>0.27500000000000002</v>
      </c>
      <c r="K199" s="29">
        <f t="shared" ref="K199:K239" si="28">100%-L199-M199</f>
        <v>0.56030000000000002</v>
      </c>
      <c r="L199" s="30">
        <v>0.4</v>
      </c>
      <c r="M199" s="30">
        <v>3.9699999999999999E-2</v>
      </c>
      <c r="N199" s="31" t="s">
        <v>266</v>
      </c>
      <c r="O199" s="69"/>
      <c r="P199" s="69"/>
      <c r="Q199" s="8">
        <f t="shared" si="25"/>
        <v>7.0134103448275873</v>
      </c>
      <c r="R199" s="8">
        <f t="shared" si="26"/>
        <v>5.0068965517241395</v>
      </c>
      <c r="S199" s="8">
        <f t="shared" si="27"/>
        <v>0.49693448275862079</v>
      </c>
    </row>
    <row r="200" spans="1:19" x14ac:dyDescent="0.25">
      <c r="A200" s="1" t="s">
        <v>406</v>
      </c>
      <c r="B200" s="2">
        <v>2835</v>
      </c>
      <c r="C200" s="1" t="s">
        <v>1</v>
      </c>
      <c r="D200" s="2" t="s">
        <v>15</v>
      </c>
      <c r="E200" s="2" t="s">
        <v>20</v>
      </c>
      <c r="F200" s="2" t="s">
        <v>21</v>
      </c>
      <c r="G200" s="2" t="s">
        <v>10</v>
      </c>
      <c r="H200" s="3">
        <v>90</v>
      </c>
      <c r="I200" s="4">
        <f t="shared" ref="I200:I201" si="29">100%-J200</f>
        <v>0.51</v>
      </c>
      <c r="J200" s="9">
        <v>0.49</v>
      </c>
      <c r="K200" s="5">
        <f t="shared" si="28"/>
        <v>0.90400000000000003</v>
      </c>
      <c r="L200" s="9">
        <v>0</v>
      </c>
      <c r="M200" s="9">
        <v>9.6000000000000002E-2</v>
      </c>
      <c r="N200" s="6" t="s">
        <v>24</v>
      </c>
      <c r="O200" s="69"/>
      <c r="P200" s="69"/>
      <c r="Q200" s="8">
        <f t="shared" si="25"/>
        <v>28.662117647058821</v>
      </c>
      <c r="R200" s="8">
        <f t="shared" si="26"/>
        <v>0</v>
      </c>
      <c r="S200" s="8">
        <f t="shared" si="27"/>
        <v>3.0437647058823529</v>
      </c>
    </row>
    <row r="201" spans="1:19" x14ac:dyDescent="0.25">
      <c r="A201" s="1" t="s">
        <v>407</v>
      </c>
      <c r="B201" s="2">
        <v>2835</v>
      </c>
      <c r="C201" s="1" t="s">
        <v>1</v>
      </c>
      <c r="D201" s="2" t="s">
        <v>15</v>
      </c>
      <c r="E201" s="2" t="s">
        <v>20</v>
      </c>
      <c r="F201" s="2" t="s">
        <v>21</v>
      </c>
      <c r="G201" s="2" t="s">
        <v>8</v>
      </c>
      <c r="H201" s="3">
        <v>90</v>
      </c>
      <c r="I201" s="4">
        <f t="shared" si="29"/>
        <v>0.44499999999999995</v>
      </c>
      <c r="J201" s="9">
        <v>0.55500000000000005</v>
      </c>
      <c r="K201" s="5">
        <f t="shared" si="28"/>
        <v>0.88500000000000001</v>
      </c>
      <c r="L201" s="9">
        <v>0</v>
      </c>
      <c r="M201" s="9">
        <v>0.115</v>
      </c>
      <c r="N201" s="6" t="s">
        <v>266</v>
      </c>
      <c r="O201" s="69"/>
      <c r="P201" s="69"/>
      <c r="Q201" s="8">
        <f t="shared" si="25"/>
        <v>36.424213483146076</v>
      </c>
      <c r="R201" s="8">
        <f t="shared" si="26"/>
        <v>0</v>
      </c>
      <c r="S201" s="8">
        <f t="shared" si="27"/>
        <v>4.7330898876404506</v>
      </c>
    </row>
    <row r="202" spans="1:19" x14ac:dyDescent="0.25">
      <c r="A202" s="1" t="s">
        <v>408</v>
      </c>
      <c r="B202" s="2">
        <v>2835</v>
      </c>
      <c r="C202" s="1" t="s">
        <v>1</v>
      </c>
      <c r="D202" s="3" t="s">
        <v>409</v>
      </c>
      <c r="E202" s="2" t="s">
        <v>3</v>
      </c>
      <c r="F202" s="2" t="s">
        <v>4</v>
      </c>
      <c r="G202" s="2" t="s">
        <v>8</v>
      </c>
      <c r="H202" s="3">
        <v>80</v>
      </c>
      <c r="I202" s="4">
        <f>100%-J202</f>
        <v>0.52</v>
      </c>
      <c r="J202" s="5">
        <v>0.48</v>
      </c>
      <c r="K202" s="5">
        <f t="shared" si="28"/>
        <v>0.79449999999999998</v>
      </c>
      <c r="L202" s="5">
        <v>0.15</v>
      </c>
      <c r="M202" s="5">
        <v>5.5500000000000001E-2</v>
      </c>
      <c r="N202" s="6" t="s">
        <v>266</v>
      </c>
      <c r="O202" s="69"/>
      <c r="P202" s="69"/>
      <c r="Q202" s="8">
        <f t="shared" si="25"/>
        <v>24.201692307692305</v>
      </c>
      <c r="R202" s="8">
        <f t="shared" si="26"/>
        <v>4.569230769230769</v>
      </c>
      <c r="S202" s="8">
        <f t="shared" si="27"/>
        <v>1.6906153846153846</v>
      </c>
    </row>
    <row r="203" spans="1:19" ht="15" customHeight="1" x14ac:dyDescent="0.25">
      <c r="A203" s="1" t="s">
        <v>410</v>
      </c>
      <c r="B203" s="19">
        <v>3030</v>
      </c>
      <c r="C203" s="1" t="s">
        <v>14</v>
      </c>
      <c r="D203" s="19" t="s">
        <v>15</v>
      </c>
      <c r="E203" s="19" t="s">
        <v>20</v>
      </c>
      <c r="F203" s="19" t="s">
        <v>396</v>
      </c>
      <c r="G203" s="19" t="s">
        <v>10</v>
      </c>
      <c r="H203" s="3">
        <v>80</v>
      </c>
      <c r="I203" s="20">
        <f t="shared" ref="I203:I239" si="30">100%-J203</f>
        <v>0.63</v>
      </c>
      <c r="J203" s="16">
        <v>0.37</v>
      </c>
      <c r="K203" s="21">
        <f t="shared" si="28"/>
        <v>0.52199999999999991</v>
      </c>
      <c r="L203" s="22">
        <v>0.43099999999999999</v>
      </c>
      <c r="M203" s="22">
        <v>4.7E-2</v>
      </c>
      <c r="N203" s="18" t="s">
        <v>24</v>
      </c>
      <c r="O203" s="69"/>
      <c r="P203" s="69"/>
      <c r="Q203" s="8">
        <f t="shared" si="25"/>
        <v>10.116857142857141</v>
      </c>
      <c r="R203" s="8">
        <f t="shared" si="26"/>
        <v>8.3531904761904752</v>
      </c>
      <c r="S203" s="8">
        <f t="shared" si="27"/>
        <v>0.91090476190476188</v>
      </c>
    </row>
    <row r="204" spans="1:19" x14ac:dyDescent="0.25">
      <c r="A204" s="26" t="s">
        <v>252</v>
      </c>
      <c r="B204" s="3">
        <v>5050</v>
      </c>
      <c r="C204" s="26" t="s">
        <v>1</v>
      </c>
      <c r="D204" s="3" t="s">
        <v>15</v>
      </c>
      <c r="E204" s="3" t="s">
        <v>51</v>
      </c>
      <c r="F204" s="3" t="s">
        <v>52</v>
      </c>
      <c r="G204" s="3" t="s">
        <v>253</v>
      </c>
      <c r="H204" s="3">
        <v>70</v>
      </c>
      <c r="I204" s="32">
        <f t="shared" si="30"/>
        <v>0.78</v>
      </c>
      <c r="J204" s="33">
        <v>0.22</v>
      </c>
      <c r="K204" s="33">
        <f t="shared" si="28"/>
        <v>0.45900000000000002</v>
      </c>
      <c r="L204" s="36">
        <v>0.5</v>
      </c>
      <c r="M204" s="36">
        <v>4.1000000000000002E-2</v>
      </c>
      <c r="N204" s="34" t="s">
        <v>24</v>
      </c>
      <c r="O204" s="69"/>
      <c r="P204" s="69"/>
      <c r="Q204" s="8">
        <f t="shared" si="25"/>
        <v>4.2722307692307702</v>
      </c>
      <c r="R204" s="8">
        <f t="shared" si="26"/>
        <v>4.6538461538461542</v>
      </c>
      <c r="S204" s="8">
        <f t="shared" si="27"/>
        <v>0.38161538461538463</v>
      </c>
    </row>
    <row r="205" spans="1:19" x14ac:dyDescent="0.25">
      <c r="A205" s="1" t="s">
        <v>411</v>
      </c>
      <c r="B205" s="2">
        <v>2835</v>
      </c>
      <c r="C205" s="1" t="s">
        <v>1</v>
      </c>
      <c r="D205" s="2" t="s">
        <v>2</v>
      </c>
      <c r="E205" s="2" t="s">
        <v>3</v>
      </c>
      <c r="F205" s="2" t="s">
        <v>4</v>
      </c>
      <c r="G205" s="2" t="s">
        <v>137</v>
      </c>
      <c r="H205" s="3">
        <v>70</v>
      </c>
      <c r="I205" s="4">
        <f t="shared" si="30"/>
        <v>0.55000000000000004</v>
      </c>
      <c r="J205" s="5">
        <v>0.45</v>
      </c>
      <c r="K205" s="5">
        <f t="shared" si="28"/>
        <v>0.9153</v>
      </c>
      <c r="L205" s="5">
        <v>0.02</v>
      </c>
      <c r="M205" s="5">
        <v>6.4699999999999994E-2</v>
      </c>
      <c r="N205" s="6" t="s">
        <v>6</v>
      </c>
      <c r="O205" s="68">
        <v>30</v>
      </c>
      <c r="P205" s="68">
        <v>3</v>
      </c>
      <c r="Q205" s="8">
        <f>($O$3+$P$3)/I205*J205*K205</f>
        <v>24.713099999999997</v>
      </c>
      <c r="R205" s="8">
        <f>($O$3+$P$3)/I205*J205*L205</f>
        <v>0.53999999999999992</v>
      </c>
      <c r="S205" s="8">
        <f>($O$3+$P$3)/I205*J205*M205</f>
        <v>1.7468999999999997</v>
      </c>
    </row>
    <row r="206" spans="1:19" x14ac:dyDescent="0.25">
      <c r="A206" s="1" t="s">
        <v>412</v>
      </c>
      <c r="B206" s="2">
        <v>2835</v>
      </c>
      <c r="C206" s="1" t="s">
        <v>1</v>
      </c>
      <c r="D206" s="2" t="s">
        <v>2</v>
      </c>
      <c r="E206" s="2" t="s">
        <v>3</v>
      </c>
      <c r="F206" s="2" t="s">
        <v>4</v>
      </c>
      <c r="G206" s="2" t="s">
        <v>139</v>
      </c>
      <c r="H206" s="3">
        <v>70</v>
      </c>
      <c r="I206" s="4">
        <f t="shared" si="30"/>
        <v>0.59000000000000008</v>
      </c>
      <c r="J206" s="5">
        <v>0.41</v>
      </c>
      <c r="K206" s="5">
        <f t="shared" si="28"/>
        <v>0.92449999999999999</v>
      </c>
      <c r="L206" s="5">
        <v>0.02</v>
      </c>
      <c r="M206" s="5">
        <v>5.5500000000000001E-2</v>
      </c>
      <c r="N206" s="6" t="s">
        <v>6</v>
      </c>
      <c r="O206" s="69"/>
      <c r="P206" s="69"/>
      <c r="Q206" s="8">
        <f t="shared" ref="Q206:Q212" si="31">($O$3+$P$3)/I206*J206*K206</f>
        <v>21.200822033898298</v>
      </c>
      <c r="R206" s="8">
        <f t="shared" ref="R206:R269" si="32">($O$3+$P$3)/I206*J206*L206</f>
        <v>0.45864406779661004</v>
      </c>
      <c r="S206" s="8">
        <f t="shared" ref="S206:S269" si="33">($O$3+$P$3)/I206*J206*M206</f>
        <v>1.2727372881355929</v>
      </c>
    </row>
    <row r="207" spans="1:19" x14ac:dyDescent="0.25">
      <c r="A207" s="1" t="s">
        <v>413</v>
      </c>
      <c r="B207" s="2">
        <v>2835</v>
      </c>
      <c r="C207" s="1" t="s">
        <v>1</v>
      </c>
      <c r="D207" s="2" t="s">
        <v>2</v>
      </c>
      <c r="E207" s="2" t="s">
        <v>3</v>
      </c>
      <c r="F207" s="2" t="s">
        <v>4</v>
      </c>
      <c r="G207" s="2" t="s">
        <v>141</v>
      </c>
      <c r="H207" s="3">
        <v>70</v>
      </c>
      <c r="I207" s="4">
        <f t="shared" si="30"/>
        <v>0.65</v>
      </c>
      <c r="J207" s="9">
        <v>0.35</v>
      </c>
      <c r="K207" s="5">
        <f t="shared" si="28"/>
        <v>0.66899999999999993</v>
      </c>
      <c r="L207" s="9">
        <v>0.3</v>
      </c>
      <c r="M207" s="9">
        <v>3.1E-2</v>
      </c>
      <c r="N207" s="6" t="s">
        <v>24</v>
      </c>
      <c r="O207" s="69"/>
      <c r="P207" s="69"/>
      <c r="Q207" s="8">
        <f t="shared" si="31"/>
        <v>11.887615384615382</v>
      </c>
      <c r="R207" s="8">
        <f t="shared" si="32"/>
        <v>5.3307692307692296</v>
      </c>
      <c r="S207" s="8">
        <f t="shared" si="33"/>
        <v>0.55084615384615376</v>
      </c>
    </row>
    <row r="208" spans="1:19" x14ac:dyDescent="0.25">
      <c r="A208" s="10" t="s">
        <v>414</v>
      </c>
      <c r="B208" s="2">
        <v>2835</v>
      </c>
      <c r="C208" s="1" t="s">
        <v>1</v>
      </c>
      <c r="D208" s="2" t="s">
        <v>2</v>
      </c>
      <c r="E208" s="2" t="s">
        <v>3</v>
      </c>
      <c r="F208" s="2" t="s">
        <v>4</v>
      </c>
      <c r="G208" s="2" t="s">
        <v>143</v>
      </c>
      <c r="H208" s="3">
        <v>70</v>
      </c>
      <c r="I208" s="4">
        <f t="shared" si="30"/>
        <v>0.74</v>
      </c>
      <c r="J208" s="9">
        <v>0.26</v>
      </c>
      <c r="K208" s="5">
        <f t="shared" si="28"/>
        <v>0.90399999999999991</v>
      </c>
      <c r="L208" s="9">
        <v>0.05</v>
      </c>
      <c r="M208" s="9">
        <v>4.5999999999999999E-2</v>
      </c>
      <c r="N208" s="6" t="s">
        <v>6</v>
      </c>
      <c r="O208" s="69"/>
      <c r="P208" s="69"/>
      <c r="Q208" s="8">
        <f t="shared" si="31"/>
        <v>10.481513513513512</v>
      </c>
      <c r="R208" s="8">
        <f t="shared" si="32"/>
        <v>0.5797297297297298</v>
      </c>
      <c r="S208" s="8">
        <f t="shared" si="33"/>
        <v>0.53335135135135137</v>
      </c>
    </row>
    <row r="209" spans="1:19" x14ac:dyDescent="0.25">
      <c r="A209" s="1" t="s">
        <v>415</v>
      </c>
      <c r="B209" s="3">
        <v>2835</v>
      </c>
      <c r="C209" s="1" t="s">
        <v>1</v>
      </c>
      <c r="D209" s="3" t="s">
        <v>2</v>
      </c>
      <c r="E209" s="3" t="s">
        <v>3</v>
      </c>
      <c r="F209" s="3" t="s">
        <v>4</v>
      </c>
      <c r="G209" s="3" t="s">
        <v>261</v>
      </c>
      <c r="H209" s="3">
        <v>70</v>
      </c>
      <c r="I209" s="32">
        <f t="shared" si="30"/>
        <v>0.83499999999999996</v>
      </c>
      <c r="J209" s="33">
        <v>0.16500000000000001</v>
      </c>
      <c r="K209" s="33">
        <f t="shared" si="28"/>
        <v>0.94428571428571428</v>
      </c>
      <c r="L209" s="33">
        <v>0.02</v>
      </c>
      <c r="M209" s="33">
        <v>3.5714285714285712E-2</v>
      </c>
      <c r="N209" s="34" t="s">
        <v>6</v>
      </c>
      <c r="O209" s="69"/>
      <c r="P209" s="69"/>
      <c r="Q209" s="8">
        <f t="shared" si="31"/>
        <v>6.1576475620188207</v>
      </c>
      <c r="R209" s="8">
        <f t="shared" si="32"/>
        <v>0.13041916167664674</v>
      </c>
      <c r="S209" s="8">
        <f t="shared" si="33"/>
        <v>0.23289136013686917</v>
      </c>
    </row>
    <row r="210" spans="1:19" x14ac:dyDescent="0.25">
      <c r="A210" s="1" t="s">
        <v>144</v>
      </c>
      <c r="B210" s="1">
        <v>3030</v>
      </c>
      <c r="C210" s="1" t="s">
        <v>14</v>
      </c>
      <c r="D210" s="1" t="s">
        <v>15</v>
      </c>
      <c r="E210" s="1" t="s">
        <v>3</v>
      </c>
      <c r="F210" s="1" t="s">
        <v>4</v>
      </c>
      <c r="G210" s="1" t="s">
        <v>137</v>
      </c>
      <c r="H210" s="3">
        <v>70</v>
      </c>
      <c r="I210" s="11">
        <f t="shared" si="30"/>
        <v>0.63</v>
      </c>
      <c r="J210" s="12">
        <v>0.37</v>
      </c>
      <c r="K210" s="12">
        <f t="shared" si="28"/>
        <v>0.89304347826086961</v>
      </c>
      <c r="L210" s="13">
        <v>0.02</v>
      </c>
      <c r="M210" s="13">
        <v>8.6956521739130432E-2</v>
      </c>
      <c r="N210" s="6" t="s">
        <v>6</v>
      </c>
      <c r="O210" s="69"/>
      <c r="P210" s="69"/>
      <c r="Q210" s="8">
        <f t="shared" si="31"/>
        <v>17.308033126293996</v>
      </c>
      <c r="R210" s="8">
        <f t="shared" si="32"/>
        <v>0.38761904761904759</v>
      </c>
      <c r="S210" s="8">
        <f t="shared" si="33"/>
        <v>1.6853002070393373</v>
      </c>
    </row>
    <row r="211" spans="1:19" s="55" customFormat="1" x14ac:dyDescent="0.25">
      <c r="A211" s="1" t="s">
        <v>145</v>
      </c>
      <c r="B211" s="14">
        <v>3030</v>
      </c>
      <c r="C211" s="1" t="s">
        <v>14</v>
      </c>
      <c r="D211" s="14" t="s">
        <v>15</v>
      </c>
      <c r="E211" s="14" t="s">
        <v>3</v>
      </c>
      <c r="F211" s="14" t="s">
        <v>4</v>
      </c>
      <c r="G211" s="14" t="s">
        <v>139</v>
      </c>
      <c r="H211" s="3">
        <v>70</v>
      </c>
      <c r="I211" s="15">
        <f t="shared" si="30"/>
        <v>0.62</v>
      </c>
      <c r="J211" s="16">
        <v>0.38</v>
      </c>
      <c r="K211" s="16">
        <f t="shared" si="28"/>
        <v>0.91500000000000004</v>
      </c>
      <c r="L211" s="17">
        <v>0.02</v>
      </c>
      <c r="M211" s="17">
        <v>6.5000000000000002E-2</v>
      </c>
      <c r="N211" s="18" t="s">
        <v>6</v>
      </c>
      <c r="O211" s="69"/>
      <c r="P211" s="69"/>
      <c r="Q211" s="8">
        <f t="shared" si="31"/>
        <v>18.506612903225808</v>
      </c>
      <c r="R211" s="8">
        <f t="shared" si="32"/>
        <v>0.40451612903225809</v>
      </c>
      <c r="S211" s="8">
        <f t="shared" si="33"/>
        <v>1.3146774193548387</v>
      </c>
    </row>
    <row r="212" spans="1:19" x14ac:dyDescent="0.25">
      <c r="A212" s="1" t="s">
        <v>146</v>
      </c>
      <c r="B212" s="19">
        <v>3030</v>
      </c>
      <c r="C212" s="1" t="s">
        <v>14</v>
      </c>
      <c r="D212" s="19" t="s">
        <v>15</v>
      </c>
      <c r="E212" s="19" t="s">
        <v>3</v>
      </c>
      <c r="F212" s="19" t="s">
        <v>4</v>
      </c>
      <c r="G212" s="19" t="s">
        <v>141</v>
      </c>
      <c r="H212" s="3">
        <v>70</v>
      </c>
      <c r="I212" s="20">
        <f t="shared" si="30"/>
        <v>0.65999999999999992</v>
      </c>
      <c r="J212" s="16">
        <v>0.34</v>
      </c>
      <c r="K212" s="21">
        <f t="shared" si="28"/>
        <v>0.66899999999999993</v>
      </c>
      <c r="L212" s="22">
        <v>0.3</v>
      </c>
      <c r="M212" s="22">
        <v>3.1E-2</v>
      </c>
      <c r="N212" s="18" t="s">
        <v>6</v>
      </c>
      <c r="O212" s="69"/>
      <c r="P212" s="69"/>
      <c r="Q212" s="8">
        <f t="shared" si="31"/>
        <v>11.373000000000001</v>
      </c>
      <c r="R212" s="8">
        <f t="shared" si="32"/>
        <v>5.1000000000000005</v>
      </c>
      <c r="S212" s="8">
        <f t="shared" si="33"/>
        <v>0.52700000000000014</v>
      </c>
    </row>
    <row r="213" spans="1:19" x14ac:dyDescent="0.25">
      <c r="A213" s="1" t="s">
        <v>147</v>
      </c>
      <c r="B213" s="2">
        <v>3030</v>
      </c>
      <c r="C213" s="1" t="s">
        <v>14</v>
      </c>
      <c r="D213" s="2" t="s">
        <v>15</v>
      </c>
      <c r="E213" s="2" t="s">
        <v>3</v>
      </c>
      <c r="F213" s="2" t="s">
        <v>4</v>
      </c>
      <c r="G213" s="23" t="s">
        <v>143</v>
      </c>
      <c r="H213" s="3">
        <v>70</v>
      </c>
      <c r="I213" s="4">
        <f t="shared" si="30"/>
        <v>0.78500000000000003</v>
      </c>
      <c r="J213" s="9">
        <v>0.215</v>
      </c>
      <c r="K213" s="5">
        <f t="shared" si="28"/>
        <v>0.93652173913043479</v>
      </c>
      <c r="L213" s="24">
        <v>0.02</v>
      </c>
      <c r="M213" s="24">
        <v>4.3478260869565216E-2</v>
      </c>
      <c r="N213" s="6" t="s">
        <v>6</v>
      </c>
      <c r="O213" s="69"/>
      <c r="P213" s="69"/>
      <c r="Q213" s="8">
        <f>($O$3+$P$3)/I213*J213*K213</f>
        <v>8.4644862918859047</v>
      </c>
      <c r="R213" s="8">
        <f t="shared" si="32"/>
        <v>0.18076433121019109</v>
      </c>
      <c r="S213" s="8">
        <f t="shared" si="33"/>
        <v>0.39296593741345887</v>
      </c>
    </row>
    <row r="214" spans="1:19" x14ac:dyDescent="0.25">
      <c r="A214" s="1" t="s">
        <v>416</v>
      </c>
      <c r="B214" s="3">
        <v>3030</v>
      </c>
      <c r="C214" s="1" t="s">
        <v>14</v>
      </c>
      <c r="D214" s="3" t="s">
        <v>15</v>
      </c>
      <c r="E214" s="3" t="s">
        <v>3</v>
      </c>
      <c r="F214" s="3" t="s">
        <v>4</v>
      </c>
      <c r="G214" s="3" t="s">
        <v>261</v>
      </c>
      <c r="H214" s="3">
        <v>70</v>
      </c>
      <c r="I214" s="32">
        <f t="shared" si="30"/>
        <v>0.8</v>
      </c>
      <c r="J214" s="33">
        <v>0.2</v>
      </c>
      <c r="K214" s="33">
        <f t="shared" si="28"/>
        <v>0.95014925373134329</v>
      </c>
      <c r="L214" s="36">
        <v>0.02</v>
      </c>
      <c r="M214" s="36">
        <v>2.9850746268656716E-2</v>
      </c>
      <c r="N214" s="34" t="s">
        <v>6</v>
      </c>
      <c r="O214" s="69"/>
      <c r="P214" s="69"/>
      <c r="Q214" s="8">
        <f t="shared" ref="Q214:Q277" si="34">($O$3+$P$3)/I214*J214*K214</f>
        <v>7.8387313432835821</v>
      </c>
      <c r="R214" s="8">
        <f t="shared" si="32"/>
        <v>0.16500000000000001</v>
      </c>
      <c r="S214" s="8">
        <f t="shared" si="33"/>
        <v>0.2462686567164179</v>
      </c>
    </row>
    <row r="215" spans="1:19" x14ac:dyDescent="0.25">
      <c r="A215" s="1" t="s">
        <v>148</v>
      </c>
      <c r="B215" s="19">
        <v>3030</v>
      </c>
      <c r="C215" s="1" t="s">
        <v>14</v>
      </c>
      <c r="D215" s="19" t="s">
        <v>15</v>
      </c>
      <c r="E215" s="19" t="s">
        <v>20</v>
      </c>
      <c r="F215" s="19" t="s">
        <v>21</v>
      </c>
      <c r="G215" s="19" t="s">
        <v>137</v>
      </c>
      <c r="H215" s="3">
        <v>70</v>
      </c>
      <c r="I215" s="20">
        <f t="shared" si="30"/>
        <v>0.505</v>
      </c>
      <c r="J215" s="21">
        <v>0.495</v>
      </c>
      <c r="K215" s="21">
        <f t="shared" si="28"/>
        <v>0.92199999999999993</v>
      </c>
      <c r="L215" s="25">
        <v>1.9999999999999997E-2</v>
      </c>
      <c r="M215" s="25">
        <v>5.8000000000000003E-2</v>
      </c>
      <c r="N215" s="18" t="s">
        <v>266</v>
      </c>
      <c r="O215" s="69"/>
      <c r="P215" s="69"/>
      <c r="Q215" s="8">
        <f t="shared" si="34"/>
        <v>29.823504950495042</v>
      </c>
      <c r="R215" s="8">
        <f t="shared" si="32"/>
        <v>0.64693069306930673</v>
      </c>
      <c r="S215" s="8">
        <f t="shared" si="33"/>
        <v>1.8760990099009898</v>
      </c>
    </row>
    <row r="216" spans="1:19" x14ac:dyDescent="0.25">
      <c r="A216" s="1" t="s">
        <v>149</v>
      </c>
      <c r="B216" s="2">
        <v>3030</v>
      </c>
      <c r="C216" s="1" t="s">
        <v>14</v>
      </c>
      <c r="D216" s="2" t="s">
        <v>15</v>
      </c>
      <c r="E216" s="2" t="s">
        <v>20</v>
      </c>
      <c r="F216" s="2" t="s">
        <v>21</v>
      </c>
      <c r="G216" s="2" t="s">
        <v>139</v>
      </c>
      <c r="H216" s="3">
        <v>70</v>
      </c>
      <c r="I216" s="4">
        <f t="shared" si="30"/>
        <v>0.63500000000000001</v>
      </c>
      <c r="J216" s="5">
        <v>0.36499999999999999</v>
      </c>
      <c r="K216" s="5">
        <f t="shared" si="28"/>
        <v>0.49300000000000005</v>
      </c>
      <c r="L216" s="5">
        <v>0.45</v>
      </c>
      <c r="M216" s="5">
        <v>5.7000000000000002E-2</v>
      </c>
      <c r="N216" s="6" t="s">
        <v>24</v>
      </c>
      <c r="O216" s="69"/>
      <c r="P216" s="69"/>
      <c r="Q216" s="8">
        <f t="shared" si="34"/>
        <v>9.3514724409448835</v>
      </c>
      <c r="R216" s="8">
        <f t="shared" si="32"/>
        <v>8.535826771653543</v>
      </c>
      <c r="S216" s="8">
        <f t="shared" si="33"/>
        <v>1.0812047244094489</v>
      </c>
    </row>
    <row r="217" spans="1:19" x14ac:dyDescent="0.25">
      <c r="A217" s="1" t="s">
        <v>150</v>
      </c>
      <c r="B217" s="19">
        <v>3030</v>
      </c>
      <c r="C217" s="1" t="s">
        <v>14</v>
      </c>
      <c r="D217" s="19" t="s">
        <v>15</v>
      </c>
      <c r="E217" s="19" t="s">
        <v>20</v>
      </c>
      <c r="F217" s="19" t="s">
        <v>21</v>
      </c>
      <c r="G217" s="19" t="s">
        <v>141</v>
      </c>
      <c r="H217" s="3">
        <v>70</v>
      </c>
      <c r="I217" s="20">
        <f t="shared" si="30"/>
        <v>0.7</v>
      </c>
      <c r="J217" s="16">
        <v>0.3</v>
      </c>
      <c r="K217" s="21">
        <f t="shared" si="28"/>
        <v>0.56199999999999994</v>
      </c>
      <c r="L217" s="22">
        <v>0.4</v>
      </c>
      <c r="M217" s="22">
        <v>3.7999999999999999E-2</v>
      </c>
      <c r="N217" s="18" t="s">
        <v>24</v>
      </c>
      <c r="O217" s="69"/>
      <c r="P217" s="69"/>
      <c r="Q217" s="8">
        <f t="shared" si="34"/>
        <v>7.9482857142857144</v>
      </c>
      <c r="R217" s="8">
        <f t="shared" si="32"/>
        <v>5.6571428571428584</v>
      </c>
      <c r="S217" s="8">
        <f t="shared" si="33"/>
        <v>0.53742857142857148</v>
      </c>
    </row>
    <row r="218" spans="1:19" x14ac:dyDescent="0.25">
      <c r="A218" s="1" t="s">
        <v>151</v>
      </c>
      <c r="B218" s="19">
        <v>3030</v>
      </c>
      <c r="C218" s="1" t="s">
        <v>14</v>
      </c>
      <c r="D218" s="19" t="s">
        <v>15</v>
      </c>
      <c r="E218" s="19" t="s">
        <v>20</v>
      </c>
      <c r="F218" s="19" t="s">
        <v>21</v>
      </c>
      <c r="G218" s="19" t="s">
        <v>143</v>
      </c>
      <c r="H218" s="3">
        <v>70</v>
      </c>
      <c r="I218" s="20">
        <f t="shared" si="30"/>
        <v>0.72</v>
      </c>
      <c r="J218" s="21">
        <v>0.28000000000000003</v>
      </c>
      <c r="K218" s="21">
        <f t="shared" si="28"/>
        <v>0.67999999999999994</v>
      </c>
      <c r="L218" s="21">
        <v>0.3</v>
      </c>
      <c r="M218" s="21">
        <v>0.02</v>
      </c>
      <c r="N218" s="18" t="s">
        <v>266</v>
      </c>
      <c r="O218" s="69"/>
      <c r="P218" s="69"/>
      <c r="Q218" s="8">
        <f t="shared" si="34"/>
        <v>8.7266666666666683</v>
      </c>
      <c r="R218" s="8">
        <f t="shared" si="32"/>
        <v>3.8500000000000005</v>
      </c>
      <c r="S218" s="8">
        <f t="shared" si="33"/>
        <v>0.25666666666666671</v>
      </c>
    </row>
    <row r="219" spans="1:19" x14ac:dyDescent="0.25">
      <c r="A219" s="1" t="s">
        <v>417</v>
      </c>
      <c r="B219" s="3">
        <v>3030</v>
      </c>
      <c r="C219" s="1" t="s">
        <v>14</v>
      </c>
      <c r="D219" s="3" t="s">
        <v>15</v>
      </c>
      <c r="E219" s="3" t="s">
        <v>20</v>
      </c>
      <c r="F219" s="3" t="s">
        <v>21</v>
      </c>
      <c r="G219" s="3" t="s">
        <v>261</v>
      </c>
      <c r="H219" s="3">
        <v>70</v>
      </c>
      <c r="I219" s="32">
        <f t="shared" si="30"/>
        <v>0.8</v>
      </c>
      <c r="J219" s="33">
        <v>0.2</v>
      </c>
      <c r="K219" s="33">
        <f t="shared" si="28"/>
        <v>0.95014925373134329</v>
      </c>
      <c r="L219" s="33">
        <v>0.02</v>
      </c>
      <c r="M219" s="33">
        <v>2.9850746268656716E-2</v>
      </c>
      <c r="N219" s="34" t="s">
        <v>6</v>
      </c>
      <c r="O219" s="69"/>
      <c r="P219" s="69"/>
      <c r="Q219" s="8">
        <f t="shared" si="34"/>
        <v>7.8387313432835821</v>
      </c>
      <c r="R219" s="8">
        <f t="shared" si="32"/>
        <v>0.16500000000000001</v>
      </c>
      <c r="S219" s="8">
        <f t="shared" si="33"/>
        <v>0.2462686567164179</v>
      </c>
    </row>
    <row r="220" spans="1:19" x14ac:dyDescent="0.25">
      <c r="A220" s="26" t="s">
        <v>152</v>
      </c>
      <c r="B220" s="1">
        <v>5050</v>
      </c>
      <c r="C220" s="1" t="s">
        <v>14</v>
      </c>
      <c r="D220" s="1" t="s">
        <v>15</v>
      </c>
      <c r="E220" s="1" t="s">
        <v>27</v>
      </c>
      <c r="F220" s="1" t="s">
        <v>28</v>
      </c>
      <c r="G220" s="1" t="s">
        <v>137</v>
      </c>
      <c r="H220" s="3">
        <v>70</v>
      </c>
      <c r="I220" s="11">
        <f t="shared" si="30"/>
        <v>0.65</v>
      </c>
      <c r="J220" s="12">
        <v>0.35</v>
      </c>
      <c r="K220" s="12">
        <f t="shared" si="28"/>
        <v>0.89500000000000002</v>
      </c>
      <c r="L220" s="13">
        <v>0.02</v>
      </c>
      <c r="M220" s="13">
        <v>8.5000000000000006E-2</v>
      </c>
      <c r="N220" s="6" t="s">
        <v>6</v>
      </c>
      <c r="O220" s="69"/>
      <c r="P220" s="69"/>
      <c r="Q220" s="8">
        <f t="shared" si="34"/>
        <v>15.903461538461537</v>
      </c>
      <c r="R220" s="8">
        <f t="shared" si="32"/>
        <v>0.35538461538461535</v>
      </c>
      <c r="S220" s="8">
        <f t="shared" si="33"/>
        <v>1.5103846153846152</v>
      </c>
    </row>
    <row r="221" spans="1:19" x14ac:dyDescent="0.25">
      <c r="A221" s="26" t="s">
        <v>153</v>
      </c>
      <c r="B221" s="1">
        <v>5050</v>
      </c>
      <c r="C221" s="1" t="s">
        <v>14</v>
      </c>
      <c r="D221" s="1" t="s">
        <v>15</v>
      </c>
      <c r="E221" s="1" t="s">
        <v>27</v>
      </c>
      <c r="F221" s="1" t="s">
        <v>28</v>
      </c>
      <c r="G221" s="1" t="s">
        <v>139</v>
      </c>
      <c r="H221" s="3">
        <v>70</v>
      </c>
      <c r="I221" s="11">
        <f t="shared" si="30"/>
        <v>0.68599999999999994</v>
      </c>
      <c r="J221" s="12">
        <v>0.314</v>
      </c>
      <c r="K221" s="12">
        <f t="shared" si="28"/>
        <v>0.90700000000000003</v>
      </c>
      <c r="L221" s="13">
        <v>0.02</v>
      </c>
      <c r="M221" s="13">
        <v>7.2999999999999995E-2</v>
      </c>
      <c r="N221" s="6" t="s">
        <v>6</v>
      </c>
      <c r="O221" s="69"/>
      <c r="P221" s="69"/>
      <c r="Q221" s="8">
        <f t="shared" si="34"/>
        <v>13.70019533527697</v>
      </c>
      <c r="R221" s="8">
        <f t="shared" si="32"/>
        <v>0.30209912536443151</v>
      </c>
      <c r="S221" s="8">
        <f t="shared" si="33"/>
        <v>1.1026618075801751</v>
      </c>
    </row>
    <row r="222" spans="1:19" x14ac:dyDescent="0.25">
      <c r="A222" s="26" t="s">
        <v>154</v>
      </c>
      <c r="B222" s="2">
        <v>5050</v>
      </c>
      <c r="C222" s="1" t="s">
        <v>14</v>
      </c>
      <c r="D222" s="2" t="s">
        <v>15</v>
      </c>
      <c r="E222" s="2" t="s">
        <v>27</v>
      </c>
      <c r="F222" s="2" t="s">
        <v>28</v>
      </c>
      <c r="G222" s="2" t="s">
        <v>141</v>
      </c>
      <c r="H222" s="3">
        <v>70</v>
      </c>
      <c r="I222" s="4">
        <f t="shared" si="30"/>
        <v>0.67999999999999994</v>
      </c>
      <c r="J222" s="9">
        <v>0.32</v>
      </c>
      <c r="K222" s="5">
        <f t="shared" si="28"/>
        <v>0.66849999999999998</v>
      </c>
      <c r="L222" s="24">
        <v>0.3</v>
      </c>
      <c r="M222" s="24">
        <v>3.15E-2</v>
      </c>
      <c r="N222" s="6" t="s">
        <v>6</v>
      </c>
      <c r="O222" s="69"/>
      <c r="P222" s="69"/>
      <c r="Q222" s="8">
        <f t="shared" si="34"/>
        <v>10.381411764705883</v>
      </c>
      <c r="R222" s="8">
        <f t="shared" si="32"/>
        <v>4.658823529411765</v>
      </c>
      <c r="S222" s="8">
        <f t="shared" si="33"/>
        <v>0.48917647058823532</v>
      </c>
    </row>
    <row r="223" spans="1:19" x14ac:dyDescent="0.25">
      <c r="A223" s="26" t="s">
        <v>418</v>
      </c>
      <c r="B223" s="27">
        <v>5050</v>
      </c>
      <c r="C223" s="1" t="s">
        <v>14</v>
      </c>
      <c r="D223" s="27" t="s">
        <v>15</v>
      </c>
      <c r="E223" s="27" t="s">
        <v>27</v>
      </c>
      <c r="F223" s="27" t="s">
        <v>28</v>
      </c>
      <c r="G223" s="27" t="s">
        <v>143</v>
      </c>
      <c r="H223" s="3">
        <v>70</v>
      </c>
      <c r="I223" s="28">
        <f t="shared" si="30"/>
        <v>0.77</v>
      </c>
      <c r="J223" s="29">
        <v>0.23</v>
      </c>
      <c r="K223" s="29">
        <f t="shared" si="28"/>
        <v>0.67699999999999994</v>
      </c>
      <c r="L223" s="30">
        <v>0.3</v>
      </c>
      <c r="M223" s="30">
        <v>2.3E-2</v>
      </c>
      <c r="N223" s="31" t="s">
        <v>266</v>
      </c>
      <c r="O223" s="69"/>
      <c r="P223" s="69"/>
      <c r="Q223" s="8">
        <f t="shared" si="34"/>
        <v>6.673285714285714</v>
      </c>
      <c r="R223" s="8">
        <f t="shared" si="32"/>
        <v>2.9571428571428573</v>
      </c>
      <c r="S223" s="8">
        <f t="shared" si="33"/>
        <v>0.22671428571428573</v>
      </c>
    </row>
    <row r="224" spans="1:19" x14ac:dyDescent="0.25">
      <c r="A224" s="26" t="s">
        <v>419</v>
      </c>
      <c r="B224" s="3">
        <v>5050</v>
      </c>
      <c r="C224" s="1" t="s">
        <v>14</v>
      </c>
      <c r="D224" s="3" t="s">
        <v>15</v>
      </c>
      <c r="E224" s="3" t="s">
        <v>27</v>
      </c>
      <c r="F224" s="3" t="s">
        <v>28</v>
      </c>
      <c r="G224" s="3" t="s">
        <v>261</v>
      </c>
      <c r="H224" s="3">
        <v>70</v>
      </c>
      <c r="I224" s="32">
        <f t="shared" si="30"/>
        <v>0.83</v>
      </c>
      <c r="J224" s="33">
        <v>0.17</v>
      </c>
      <c r="K224" s="33">
        <f t="shared" si="28"/>
        <v>0.94774193548387098</v>
      </c>
      <c r="L224" s="36">
        <v>0.02</v>
      </c>
      <c r="M224" s="36">
        <v>3.2258064516129031E-2</v>
      </c>
      <c r="N224" s="34" t="s">
        <v>6</v>
      </c>
      <c r="O224" s="69"/>
      <c r="P224" s="69"/>
      <c r="Q224" s="8">
        <f t="shared" si="34"/>
        <v>6.4058219976680935</v>
      </c>
      <c r="R224" s="8">
        <f t="shared" si="32"/>
        <v>0.1351807228915663</v>
      </c>
      <c r="S224" s="8">
        <f t="shared" si="33"/>
        <v>0.2180334240186553</v>
      </c>
    </row>
    <row r="225" spans="1:19" x14ac:dyDescent="0.25">
      <c r="A225" s="26" t="s">
        <v>156</v>
      </c>
      <c r="B225" s="3">
        <v>5050</v>
      </c>
      <c r="C225" s="1" t="s">
        <v>14</v>
      </c>
      <c r="D225" s="3" t="s">
        <v>2</v>
      </c>
      <c r="E225" s="3" t="s">
        <v>33</v>
      </c>
      <c r="F225" s="3" t="s">
        <v>34</v>
      </c>
      <c r="G225" s="3" t="s">
        <v>137</v>
      </c>
      <c r="H225" s="3">
        <v>70</v>
      </c>
      <c r="I225" s="32">
        <f t="shared" si="30"/>
        <v>0.55000000000000004</v>
      </c>
      <c r="J225" s="33">
        <v>0.45</v>
      </c>
      <c r="K225" s="33">
        <f t="shared" si="28"/>
        <v>0.91749999999999998</v>
      </c>
      <c r="L225" s="33">
        <v>0.02</v>
      </c>
      <c r="M225" s="33">
        <v>6.25E-2</v>
      </c>
      <c r="N225" s="34" t="s">
        <v>6</v>
      </c>
      <c r="O225" s="69"/>
      <c r="P225" s="69"/>
      <c r="Q225" s="8">
        <f t="shared" si="34"/>
        <v>24.772499999999997</v>
      </c>
      <c r="R225" s="8">
        <f t="shared" si="32"/>
        <v>0.53999999999999992</v>
      </c>
      <c r="S225" s="8">
        <f t="shared" si="33"/>
        <v>1.6874999999999998</v>
      </c>
    </row>
    <row r="226" spans="1:19" x14ac:dyDescent="0.25">
      <c r="A226" s="26" t="s">
        <v>157</v>
      </c>
      <c r="B226" s="3">
        <v>5050</v>
      </c>
      <c r="C226" s="1" t="s">
        <v>14</v>
      </c>
      <c r="D226" s="3" t="s">
        <v>2</v>
      </c>
      <c r="E226" s="3" t="s">
        <v>33</v>
      </c>
      <c r="F226" s="3" t="s">
        <v>36</v>
      </c>
      <c r="G226" s="3" t="s">
        <v>137</v>
      </c>
      <c r="H226" s="3">
        <v>70</v>
      </c>
      <c r="I226" s="32">
        <f t="shared" si="30"/>
        <v>0.55000000000000004</v>
      </c>
      <c r="J226" s="33">
        <v>0.45</v>
      </c>
      <c r="K226" s="33">
        <f t="shared" si="28"/>
        <v>0.91749999999999998</v>
      </c>
      <c r="L226" s="33">
        <v>0.02</v>
      </c>
      <c r="M226" s="33">
        <v>6.25E-2</v>
      </c>
      <c r="N226" s="34" t="s">
        <v>6</v>
      </c>
      <c r="O226" s="69"/>
      <c r="P226" s="69"/>
      <c r="Q226" s="8">
        <f t="shared" si="34"/>
        <v>24.772499999999997</v>
      </c>
      <c r="R226" s="8">
        <f t="shared" si="32"/>
        <v>0.53999999999999992</v>
      </c>
      <c r="S226" s="8">
        <f t="shared" si="33"/>
        <v>1.6874999999999998</v>
      </c>
    </row>
    <row r="227" spans="1:19" x14ac:dyDescent="0.25">
      <c r="A227" s="26" t="s">
        <v>158</v>
      </c>
      <c r="B227" s="2">
        <v>5050</v>
      </c>
      <c r="C227" s="1" t="s">
        <v>14</v>
      </c>
      <c r="D227" s="2" t="s">
        <v>2</v>
      </c>
      <c r="E227" s="2" t="s">
        <v>33</v>
      </c>
      <c r="F227" s="2" t="s">
        <v>34</v>
      </c>
      <c r="G227" s="2" t="s">
        <v>139</v>
      </c>
      <c r="H227" s="3">
        <v>70</v>
      </c>
      <c r="I227" s="4">
        <f t="shared" si="30"/>
        <v>0.57000000000000006</v>
      </c>
      <c r="J227" s="5">
        <v>0.43</v>
      </c>
      <c r="K227" s="5">
        <f t="shared" si="28"/>
        <v>0.92620000000000002</v>
      </c>
      <c r="L227" s="5">
        <v>1.9999999999999997E-2</v>
      </c>
      <c r="M227" s="5">
        <v>5.3800000000000001E-2</v>
      </c>
      <c r="N227" s="6" t="s">
        <v>6</v>
      </c>
      <c r="O227" s="69"/>
      <c r="P227" s="69"/>
      <c r="Q227" s="8">
        <f t="shared" si="34"/>
        <v>23.057505263157893</v>
      </c>
      <c r="R227" s="8">
        <f t="shared" si="32"/>
        <v>0.49789473684210511</v>
      </c>
      <c r="S227" s="8">
        <f t="shared" si="33"/>
        <v>1.3393368421052629</v>
      </c>
    </row>
    <row r="228" spans="1:19" x14ac:dyDescent="0.25">
      <c r="A228" s="26" t="s">
        <v>159</v>
      </c>
      <c r="B228" s="2">
        <v>5050</v>
      </c>
      <c r="C228" s="1" t="s">
        <v>14</v>
      </c>
      <c r="D228" s="2" t="s">
        <v>2</v>
      </c>
      <c r="E228" s="2" t="s">
        <v>33</v>
      </c>
      <c r="F228" s="2" t="s">
        <v>36</v>
      </c>
      <c r="G228" s="2" t="s">
        <v>139</v>
      </c>
      <c r="H228" s="3">
        <v>70</v>
      </c>
      <c r="I228" s="4">
        <f t="shared" si="30"/>
        <v>0.62</v>
      </c>
      <c r="J228" s="5">
        <v>0.38</v>
      </c>
      <c r="K228" s="5">
        <f t="shared" si="28"/>
        <v>0.70299999999999996</v>
      </c>
      <c r="L228" s="5">
        <v>0.25</v>
      </c>
      <c r="M228" s="5">
        <v>4.7E-2</v>
      </c>
      <c r="N228" s="6" t="s">
        <v>6</v>
      </c>
      <c r="O228" s="69"/>
      <c r="P228" s="69"/>
      <c r="Q228" s="8">
        <f t="shared" si="34"/>
        <v>14.218741935483871</v>
      </c>
      <c r="R228" s="8">
        <f t="shared" si="32"/>
        <v>5.056451612903226</v>
      </c>
      <c r="S228" s="8">
        <f t="shared" si="33"/>
        <v>0.95061290322580649</v>
      </c>
    </row>
    <row r="229" spans="1:19" x14ac:dyDescent="0.25">
      <c r="A229" s="26" t="s">
        <v>160</v>
      </c>
      <c r="B229" s="3">
        <v>5050</v>
      </c>
      <c r="C229" s="1" t="s">
        <v>14</v>
      </c>
      <c r="D229" s="3" t="s">
        <v>2</v>
      </c>
      <c r="E229" s="3" t="s">
        <v>33</v>
      </c>
      <c r="F229" s="3" t="s">
        <v>34</v>
      </c>
      <c r="G229" s="3" t="s">
        <v>141</v>
      </c>
      <c r="H229" s="3">
        <v>70</v>
      </c>
      <c r="I229" s="32">
        <f t="shared" si="30"/>
        <v>0.7</v>
      </c>
      <c r="J229" s="35">
        <v>0.3</v>
      </c>
      <c r="K229" s="33">
        <f t="shared" si="28"/>
        <v>0.93555555555555558</v>
      </c>
      <c r="L229" s="35">
        <v>0.02</v>
      </c>
      <c r="M229" s="35">
        <v>4.4444444444444446E-2</v>
      </c>
      <c r="N229" s="34" t="s">
        <v>6</v>
      </c>
      <c r="O229" s="69"/>
      <c r="P229" s="69"/>
      <c r="Q229" s="8">
        <f t="shared" si="34"/>
        <v>13.231428571428573</v>
      </c>
      <c r="R229" s="8">
        <f t="shared" si="32"/>
        <v>0.28285714285714286</v>
      </c>
      <c r="S229" s="8">
        <f t="shared" si="33"/>
        <v>0.62857142857142867</v>
      </c>
    </row>
    <row r="230" spans="1:19" x14ac:dyDescent="0.25">
      <c r="A230" s="26" t="s">
        <v>161</v>
      </c>
      <c r="B230" s="3">
        <v>5050</v>
      </c>
      <c r="C230" s="1" t="s">
        <v>14</v>
      </c>
      <c r="D230" s="3" t="s">
        <v>2</v>
      </c>
      <c r="E230" s="3" t="s">
        <v>33</v>
      </c>
      <c r="F230" s="3" t="s">
        <v>36</v>
      </c>
      <c r="G230" s="3" t="s">
        <v>141</v>
      </c>
      <c r="H230" s="3">
        <v>70</v>
      </c>
      <c r="I230" s="32">
        <f t="shared" si="30"/>
        <v>0.59000000000000008</v>
      </c>
      <c r="J230" s="35">
        <v>0.41</v>
      </c>
      <c r="K230" s="33">
        <f t="shared" si="28"/>
        <v>0.67799999999999994</v>
      </c>
      <c r="L230" s="35">
        <v>0.3</v>
      </c>
      <c r="M230" s="35">
        <v>2.1999999999999999E-2</v>
      </c>
      <c r="N230" s="34" t="s">
        <v>266</v>
      </c>
      <c r="O230" s="69"/>
      <c r="P230" s="69"/>
      <c r="Q230" s="8">
        <f t="shared" si="34"/>
        <v>15.548033898305079</v>
      </c>
      <c r="R230" s="8">
        <f t="shared" si="32"/>
        <v>6.8796610169491501</v>
      </c>
      <c r="S230" s="8">
        <f t="shared" si="33"/>
        <v>0.50450847457627102</v>
      </c>
    </row>
    <row r="231" spans="1:19" x14ac:dyDescent="0.25">
      <c r="A231" s="26" t="s">
        <v>162</v>
      </c>
      <c r="B231" s="2">
        <v>5050</v>
      </c>
      <c r="C231" s="26" t="s">
        <v>14</v>
      </c>
      <c r="D231" s="2" t="s">
        <v>2</v>
      </c>
      <c r="E231" s="2" t="s">
        <v>33</v>
      </c>
      <c r="F231" s="2" t="s">
        <v>36</v>
      </c>
      <c r="G231" s="2" t="s">
        <v>143</v>
      </c>
      <c r="H231" s="3">
        <v>70</v>
      </c>
      <c r="I231" s="4">
        <f t="shared" si="30"/>
        <v>0.76</v>
      </c>
      <c r="J231" s="5">
        <v>0.24</v>
      </c>
      <c r="K231" s="5">
        <f t="shared" si="28"/>
        <v>0.67699999999999994</v>
      </c>
      <c r="L231" s="9">
        <v>0.3</v>
      </c>
      <c r="M231" s="9">
        <v>2.3E-2</v>
      </c>
      <c r="N231" s="6" t="s">
        <v>266</v>
      </c>
      <c r="O231" s="69"/>
      <c r="P231" s="69"/>
      <c r="Q231" s="8">
        <f t="shared" si="34"/>
        <v>7.0550526315789464</v>
      </c>
      <c r="R231" s="8">
        <f t="shared" si="32"/>
        <v>3.1263157894736842</v>
      </c>
      <c r="S231" s="8">
        <f t="shared" si="33"/>
        <v>0.23968421052631578</v>
      </c>
    </row>
    <row r="232" spans="1:19" x14ac:dyDescent="0.25">
      <c r="A232" s="26" t="s">
        <v>163</v>
      </c>
      <c r="B232" s="2">
        <v>5050</v>
      </c>
      <c r="C232" s="26" t="s">
        <v>14</v>
      </c>
      <c r="D232" s="2" t="s">
        <v>2</v>
      </c>
      <c r="E232" s="2" t="s">
        <v>33</v>
      </c>
      <c r="F232" s="2" t="s">
        <v>34</v>
      </c>
      <c r="G232" s="2" t="s">
        <v>143</v>
      </c>
      <c r="H232" s="3">
        <v>70</v>
      </c>
      <c r="I232" s="4">
        <f t="shared" si="30"/>
        <v>0.76500000000000001</v>
      </c>
      <c r="J232" s="5">
        <v>0.23499999999999999</v>
      </c>
      <c r="K232" s="5">
        <f t="shared" si="28"/>
        <v>0.94430000000000003</v>
      </c>
      <c r="L232" s="9">
        <v>0.02</v>
      </c>
      <c r="M232" s="9">
        <v>3.5700000000000003E-2</v>
      </c>
      <c r="N232" s="6" t="s">
        <v>6</v>
      </c>
      <c r="O232" s="69"/>
      <c r="P232" s="69"/>
      <c r="Q232" s="8">
        <f t="shared" si="34"/>
        <v>9.5726098039215675</v>
      </c>
      <c r="R232" s="8">
        <f t="shared" si="32"/>
        <v>0.20274509803921564</v>
      </c>
      <c r="S232" s="8">
        <f t="shared" si="33"/>
        <v>0.36189999999999994</v>
      </c>
    </row>
    <row r="233" spans="1:19" x14ac:dyDescent="0.25">
      <c r="A233" s="26" t="s">
        <v>420</v>
      </c>
      <c r="B233" s="3">
        <v>5050</v>
      </c>
      <c r="C233" s="1" t="s">
        <v>14</v>
      </c>
      <c r="D233" s="3" t="s">
        <v>2</v>
      </c>
      <c r="E233" s="3" t="s">
        <v>33</v>
      </c>
      <c r="F233" s="3" t="s">
        <v>34</v>
      </c>
      <c r="G233" s="3" t="s">
        <v>261</v>
      </c>
      <c r="H233" s="3">
        <v>70</v>
      </c>
      <c r="I233" s="32">
        <f t="shared" si="30"/>
        <v>0.83</v>
      </c>
      <c r="J233" s="33">
        <v>0.17</v>
      </c>
      <c r="K233" s="33">
        <f t="shared" si="28"/>
        <v>0.94774193548387098</v>
      </c>
      <c r="L233" s="33">
        <v>0.02</v>
      </c>
      <c r="M233" s="33">
        <v>3.2258064516129031E-2</v>
      </c>
      <c r="N233" s="34" t="s">
        <v>6</v>
      </c>
      <c r="O233" s="69"/>
      <c r="P233" s="69"/>
      <c r="Q233" s="8">
        <f t="shared" si="34"/>
        <v>6.4058219976680935</v>
      </c>
      <c r="R233" s="8">
        <f t="shared" si="32"/>
        <v>0.1351807228915663</v>
      </c>
      <c r="S233" s="8">
        <f t="shared" si="33"/>
        <v>0.2180334240186553</v>
      </c>
    </row>
    <row r="234" spans="1:19" x14ac:dyDescent="0.25">
      <c r="A234" s="26" t="s">
        <v>421</v>
      </c>
      <c r="B234" s="3">
        <v>5050</v>
      </c>
      <c r="C234" s="1" t="s">
        <v>14</v>
      </c>
      <c r="D234" s="3" t="s">
        <v>2</v>
      </c>
      <c r="E234" s="3" t="s">
        <v>33</v>
      </c>
      <c r="F234" s="3" t="s">
        <v>36</v>
      </c>
      <c r="G234" s="3" t="s">
        <v>261</v>
      </c>
      <c r="H234" s="3">
        <v>70</v>
      </c>
      <c r="I234" s="32">
        <f t="shared" si="30"/>
        <v>0.83</v>
      </c>
      <c r="J234" s="33">
        <v>0.17</v>
      </c>
      <c r="K234" s="33">
        <f t="shared" si="28"/>
        <v>0.94774193548387098</v>
      </c>
      <c r="L234" s="33">
        <v>0.02</v>
      </c>
      <c r="M234" s="33">
        <v>3.2258064516129031E-2</v>
      </c>
      <c r="N234" s="34" t="s">
        <v>6</v>
      </c>
      <c r="O234" s="69"/>
      <c r="P234" s="69"/>
      <c r="Q234" s="8">
        <f t="shared" si="34"/>
        <v>6.4058219976680935</v>
      </c>
      <c r="R234" s="8">
        <f t="shared" si="32"/>
        <v>0.1351807228915663</v>
      </c>
      <c r="S234" s="8">
        <f t="shared" si="33"/>
        <v>0.2180334240186553</v>
      </c>
    </row>
    <row r="235" spans="1:19" x14ac:dyDescent="0.25">
      <c r="A235" s="26" t="s">
        <v>164</v>
      </c>
      <c r="B235" s="3">
        <v>5050</v>
      </c>
      <c r="C235" s="26" t="s">
        <v>14</v>
      </c>
      <c r="D235" s="3" t="s">
        <v>15</v>
      </c>
      <c r="E235" s="3" t="s">
        <v>33</v>
      </c>
      <c r="F235" s="3" t="s">
        <v>34</v>
      </c>
      <c r="G235" s="3" t="s">
        <v>137</v>
      </c>
      <c r="H235" s="3">
        <v>70</v>
      </c>
      <c r="I235" s="32">
        <f t="shared" si="30"/>
        <v>0.62</v>
      </c>
      <c r="J235" s="33">
        <v>0.38</v>
      </c>
      <c r="K235" s="33">
        <f t="shared" si="28"/>
        <v>0.58099999999999996</v>
      </c>
      <c r="L235" s="36">
        <v>0.35</v>
      </c>
      <c r="M235" s="36">
        <v>6.9000000000000006E-2</v>
      </c>
      <c r="N235" s="34" t="s">
        <v>24</v>
      </c>
      <c r="O235" s="69"/>
      <c r="P235" s="69"/>
      <c r="Q235" s="8">
        <f t="shared" si="34"/>
        <v>11.751193548387096</v>
      </c>
      <c r="R235" s="8">
        <f t="shared" si="32"/>
        <v>7.0790322580645162</v>
      </c>
      <c r="S235" s="8">
        <f t="shared" si="33"/>
        <v>1.3955806451612904</v>
      </c>
    </row>
    <row r="236" spans="1:19" x14ac:dyDescent="0.25">
      <c r="A236" s="26" t="s">
        <v>165</v>
      </c>
      <c r="B236" s="3">
        <v>5050</v>
      </c>
      <c r="C236" s="26" t="s">
        <v>14</v>
      </c>
      <c r="D236" s="3" t="s">
        <v>15</v>
      </c>
      <c r="E236" s="3" t="s">
        <v>33</v>
      </c>
      <c r="F236" s="3" t="s">
        <v>36</v>
      </c>
      <c r="G236" s="3" t="s">
        <v>137</v>
      </c>
      <c r="H236" s="3">
        <v>70</v>
      </c>
      <c r="I236" s="32">
        <f t="shared" si="30"/>
        <v>0.55000000000000004</v>
      </c>
      <c r="J236" s="33">
        <v>0.45</v>
      </c>
      <c r="K236" s="33">
        <f t="shared" si="28"/>
        <v>0.91749999999999998</v>
      </c>
      <c r="L236" s="36">
        <v>0.02</v>
      </c>
      <c r="M236" s="36">
        <v>6.25E-2</v>
      </c>
      <c r="N236" s="34" t="s">
        <v>6</v>
      </c>
      <c r="O236" s="69"/>
      <c r="P236" s="69"/>
      <c r="Q236" s="8">
        <f t="shared" si="34"/>
        <v>24.772499999999997</v>
      </c>
      <c r="R236" s="8">
        <f t="shared" si="32"/>
        <v>0.53999999999999992</v>
      </c>
      <c r="S236" s="8">
        <f t="shared" si="33"/>
        <v>1.6874999999999998</v>
      </c>
    </row>
    <row r="237" spans="1:19" x14ac:dyDescent="0.25">
      <c r="A237" s="26" t="s">
        <v>166</v>
      </c>
      <c r="B237" s="3">
        <v>5050</v>
      </c>
      <c r="C237" s="1" t="s">
        <v>14</v>
      </c>
      <c r="D237" s="3" t="s">
        <v>15</v>
      </c>
      <c r="E237" s="3" t="s">
        <v>33</v>
      </c>
      <c r="F237" s="3" t="s">
        <v>34</v>
      </c>
      <c r="G237" s="3" t="s">
        <v>139</v>
      </c>
      <c r="H237" s="3">
        <v>70</v>
      </c>
      <c r="I237" s="32">
        <f t="shared" si="30"/>
        <v>0.625</v>
      </c>
      <c r="J237" s="33">
        <v>0.375</v>
      </c>
      <c r="K237" s="33">
        <f t="shared" si="28"/>
        <v>0.64399999999999991</v>
      </c>
      <c r="L237" s="36">
        <v>0.3</v>
      </c>
      <c r="M237" s="36">
        <v>5.6000000000000001E-2</v>
      </c>
      <c r="N237" s="34" t="s">
        <v>24</v>
      </c>
      <c r="O237" s="69"/>
      <c r="P237" s="69"/>
      <c r="Q237" s="8">
        <f t="shared" si="34"/>
        <v>12.751199999999995</v>
      </c>
      <c r="R237" s="8">
        <f t="shared" si="32"/>
        <v>5.9399999999999986</v>
      </c>
      <c r="S237" s="8">
        <f t="shared" si="33"/>
        <v>1.1087999999999998</v>
      </c>
    </row>
    <row r="238" spans="1:19" x14ac:dyDescent="0.25">
      <c r="A238" s="26" t="s">
        <v>167</v>
      </c>
      <c r="B238" s="3">
        <v>5050</v>
      </c>
      <c r="C238" s="1" t="s">
        <v>14</v>
      </c>
      <c r="D238" s="3" t="s">
        <v>15</v>
      </c>
      <c r="E238" s="3" t="s">
        <v>33</v>
      </c>
      <c r="F238" s="3" t="s">
        <v>36</v>
      </c>
      <c r="G238" s="3" t="s">
        <v>139</v>
      </c>
      <c r="H238" s="3">
        <v>70</v>
      </c>
      <c r="I238" s="32">
        <f t="shared" si="30"/>
        <v>0.64</v>
      </c>
      <c r="J238" s="33">
        <v>0.36</v>
      </c>
      <c r="K238" s="33">
        <f t="shared" si="28"/>
        <v>0.6429999999999999</v>
      </c>
      <c r="L238" s="36">
        <v>0.3</v>
      </c>
      <c r="M238" s="36">
        <v>5.7000000000000002E-2</v>
      </c>
      <c r="N238" s="34" t="s">
        <v>24</v>
      </c>
      <c r="O238" s="69"/>
      <c r="P238" s="69"/>
      <c r="Q238" s="8">
        <f t="shared" si="34"/>
        <v>11.935687499999998</v>
      </c>
      <c r="R238" s="8">
        <f t="shared" si="32"/>
        <v>5.5687499999999996</v>
      </c>
      <c r="S238" s="8">
        <f t="shared" si="33"/>
        <v>1.0580625000000001</v>
      </c>
    </row>
    <row r="239" spans="1:19" x14ac:dyDescent="0.25">
      <c r="A239" s="26" t="s">
        <v>170</v>
      </c>
      <c r="B239" s="3">
        <v>5050</v>
      </c>
      <c r="C239" s="26" t="s">
        <v>1</v>
      </c>
      <c r="D239" s="3" t="s">
        <v>15</v>
      </c>
      <c r="E239" s="3" t="s">
        <v>51</v>
      </c>
      <c r="F239" s="3" t="s">
        <v>52</v>
      </c>
      <c r="G239" s="3" t="s">
        <v>141</v>
      </c>
      <c r="H239" s="3">
        <v>70</v>
      </c>
      <c r="I239" s="32">
        <f t="shared" si="30"/>
        <v>0.76</v>
      </c>
      <c r="J239" s="33">
        <v>0.24</v>
      </c>
      <c r="K239" s="33">
        <f t="shared" si="28"/>
        <v>0.5595</v>
      </c>
      <c r="L239" s="36">
        <v>0.4</v>
      </c>
      <c r="M239" s="36">
        <v>4.0500000000000001E-2</v>
      </c>
      <c r="N239" s="34" t="s">
        <v>24</v>
      </c>
      <c r="O239" s="69"/>
      <c r="P239" s="69"/>
      <c r="Q239" s="8">
        <f t="shared" si="34"/>
        <v>5.8305789473684211</v>
      </c>
      <c r="R239" s="8">
        <f t="shared" si="32"/>
        <v>4.1684210526315786</v>
      </c>
      <c r="S239" s="8">
        <f t="shared" si="33"/>
        <v>0.42205263157894735</v>
      </c>
    </row>
    <row r="240" spans="1:19" x14ac:dyDescent="0.25">
      <c r="A240" s="26" t="s">
        <v>168</v>
      </c>
      <c r="B240" s="2">
        <v>5050</v>
      </c>
      <c r="C240" s="26" t="s">
        <v>14</v>
      </c>
      <c r="D240" s="2" t="s">
        <v>15</v>
      </c>
      <c r="E240" s="2" t="s">
        <v>33</v>
      </c>
      <c r="F240" s="2" t="s">
        <v>34</v>
      </c>
      <c r="G240" s="2" t="s">
        <v>141</v>
      </c>
      <c r="H240" s="3">
        <v>70</v>
      </c>
      <c r="I240" s="4">
        <f>100%-J240</f>
        <v>0.69</v>
      </c>
      <c r="J240" s="9">
        <v>0.31</v>
      </c>
      <c r="K240" s="5">
        <f>100%-L240-M240</f>
        <v>0.61499999999999999</v>
      </c>
      <c r="L240" s="24">
        <v>0.35</v>
      </c>
      <c r="M240" s="24">
        <v>3.5000000000000003E-2</v>
      </c>
      <c r="N240" s="6" t="s">
        <v>24</v>
      </c>
      <c r="O240" s="69"/>
      <c r="P240" s="69"/>
      <c r="Q240" s="8">
        <f t="shared" si="34"/>
        <v>9.1180434782608693</v>
      </c>
      <c r="R240" s="8">
        <f t="shared" si="32"/>
        <v>5.1891304347826086</v>
      </c>
      <c r="S240" s="8">
        <f t="shared" si="33"/>
        <v>0.51891304347826095</v>
      </c>
    </row>
    <row r="241" spans="1:19" x14ac:dyDescent="0.25">
      <c r="A241" s="26" t="s">
        <v>169</v>
      </c>
      <c r="B241" s="2">
        <v>5050</v>
      </c>
      <c r="C241" s="26" t="s">
        <v>14</v>
      </c>
      <c r="D241" s="2" t="s">
        <v>15</v>
      </c>
      <c r="E241" s="2" t="s">
        <v>33</v>
      </c>
      <c r="F241" s="2" t="s">
        <v>36</v>
      </c>
      <c r="G241" s="2" t="s">
        <v>141</v>
      </c>
      <c r="H241" s="3">
        <v>70</v>
      </c>
      <c r="I241" s="4">
        <f t="shared" ref="I241:I244" si="35">100%-J241</f>
        <v>0.72</v>
      </c>
      <c r="J241" s="9">
        <v>0.28000000000000003</v>
      </c>
      <c r="K241" s="5">
        <f t="shared" ref="K241:K271" si="36">100%-L241-M241</f>
        <v>0.61</v>
      </c>
      <c r="L241" s="24">
        <v>0.35</v>
      </c>
      <c r="M241" s="24">
        <v>0.04</v>
      </c>
      <c r="N241" s="6" t="s">
        <v>266</v>
      </c>
      <c r="O241" s="69"/>
      <c r="P241" s="69"/>
      <c r="Q241" s="8">
        <f t="shared" si="34"/>
        <v>7.8283333333333349</v>
      </c>
      <c r="R241" s="8">
        <f t="shared" si="32"/>
        <v>4.4916666666666671</v>
      </c>
      <c r="S241" s="8">
        <f t="shared" si="33"/>
        <v>0.51333333333333342</v>
      </c>
    </row>
    <row r="242" spans="1:19" x14ac:dyDescent="0.25">
      <c r="A242" s="26" t="s">
        <v>171</v>
      </c>
      <c r="B242" s="3">
        <v>5050</v>
      </c>
      <c r="C242" s="26" t="s">
        <v>14</v>
      </c>
      <c r="D242" s="3" t="s">
        <v>15</v>
      </c>
      <c r="E242" s="3" t="s">
        <v>54</v>
      </c>
      <c r="F242" s="3" t="s">
        <v>36</v>
      </c>
      <c r="G242" s="37" t="s">
        <v>143</v>
      </c>
      <c r="H242" s="3">
        <v>70</v>
      </c>
      <c r="I242" s="32">
        <f t="shared" si="35"/>
        <v>0.74</v>
      </c>
      <c r="J242" s="33">
        <v>0.26</v>
      </c>
      <c r="K242" s="33">
        <f t="shared" si="36"/>
        <v>0.77700000000000002</v>
      </c>
      <c r="L242" s="36">
        <v>0.2</v>
      </c>
      <c r="M242" s="36">
        <v>2.3E-2</v>
      </c>
      <c r="N242" s="34" t="s">
        <v>44</v>
      </c>
      <c r="O242" s="69"/>
      <c r="P242" s="69"/>
      <c r="Q242" s="8">
        <f t="shared" si="34"/>
        <v>9.0090000000000003</v>
      </c>
      <c r="R242" s="8">
        <f t="shared" si="32"/>
        <v>2.3189189189189192</v>
      </c>
      <c r="S242" s="8">
        <f t="shared" si="33"/>
        <v>0.26667567567567568</v>
      </c>
    </row>
    <row r="243" spans="1:19" x14ac:dyDescent="0.25">
      <c r="A243" s="26" t="s">
        <v>172</v>
      </c>
      <c r="B243" s="3">
        <v>5050</v>
      </c>
      <c r="C243" s="26" t="s">
        <v>14</v>
      </c>
      <c r="D243" s="3" t="s">
        <v>15</v>
      </c>
      <c r="E243" s="3" t="s">
        <v>54</v>
      </c>
      <c r="F243" s="3" t="s">
        <v>34</v>
      </c>
      <c r="G243" s="37" t="s">
        <v>143</v>
      </c>
      <c r="H243" s="3">
        <v>70</v>
      </c>
      <c r="I243" s="32">
        <f t="shared" si="35"/>
        <v>0.82000000000000006</v>
      </c>
      <c r="J243" s="33">
        <v>0.18</v>
      </c>
      <c r="K243" s="33">
        <f t="shared" si="36"/>
        <v>0.93299999999999994</v>
      </c>
      <c r="L243" s="36">
        <v>0.02</v>
      </c>
      <c r="M243" s="36">
        <v>4.7E-2</v>
      </c>
      <c r="N243" s="34" t="s">
        <v>6</v>
      </c>
      <c r="O243" s="69"/>
      <c r="P243" s="69"/>
      <c r="Q243" s="8">
        <f t="shared" si="34"/>
        <v>6.7585609756097549</v>
      </c>
      <c r="R243" s="8">
        <f t="shared" si="32"/>
        <v>0.14487804878048779</v>
      </c>
      <c r="S243" s="8">
        <f t="shared" si="33"/>
        <v>0.34046341463414631</v>
      </c>
    </row>
    <row r="244" spans="1:19" x14ac:dyDescent="0.25">
      <c r="A244" s="26" t="s">
        <v>422</v>
      </c>
      <c r="B244" s="3">
        <v>5050</v>
      </c>
      <c r="C244" s="1" t="s">
        <v>14</v>
      </c>
      <c r="D244" s="3" t="s">
        <v>15</v>
      </c>
      <c r="E244" s="3" t="s">
        <v>33</v>
      </c>
      <c r="F244" s="3" t="s">
        <v>34</v>
      </c>
      <c r="G244" s="3" t="s">
        <v>261</v>
      </c>
      <c r="H244" s="3">
        <v>70</v>
      </c>
      <c r="I244" s="32">
        <f t="shared" si="35"/>
        <v>0.83</v>
      </c>
      <c r="J244" s="33">
        <v>0.17</v>
      </c>
      <c r="K244" s="33">
        <f t="shared" si="36"/>
        <v>0.94774193548387098</v>
      </c>
      <c r="L244" s="36">
        <v>0.02</v>
      </c>
      <c r="M244" s="36">
        <v>3.2258064516129031E-2</v>
      </c>
      <c r="N244" s="34" t="s">
        <v>6</v>
      </c>
      <c r="O244" s="69"/>
      <c r="P244" s="69"/>
      <c r="Q244" s="8">
        <f t="shared" si="34"/>
        <v>6.4058219976680935</v>
      </c>
      <c r="R244" s="8">
        <f t="shared" si="32"/>
        <v>0.1351807228915663</v>
      </c>
      <c r="S244" s="8">
        <f t="shared" si="33"/>
        <v>0.2180334240186553</v>
      </c>
    </row>
    <row r="245" spans="1:19" x14ac:dyDescent="0.25">
      <c r="A245" s="26" t="s">
        <v>423</v>
      </c>
      <c r="B245" s="3">
        <v>5050</v>
      </c>
      <c r="C245" s="1" t="s">
        <v>14</v>
      </c>
      <c r="D245" s="3" t="s">
        <v>15</v>
      </c>
      <c r="E245" s="3" t="s">
        <v>33</v>
      </c>
      <c r="F245" s="3" t="s">
        <v>36</v>
      </c>
      <c r="G245" s="3" t="s">
        <v>261</v>
      </c>
      <c r="H245" s="3">
        <v>70</v>
      </c>
      <c r="I245" s="32">
        <f>100%-J245</f>
        <v>0.8</v>
      </c>
      <c r="J245" s="33">
        <v>0.2</v>
      </c>
      <c r="K245" s="33">
        <f t="shared" si="36"/>
        <v>0.93899999999999995</v>
      </c>
      <c r="L245" s="36">
        <v>0.02</v>
      </c>
      <c r="M245" s="36">
        <v>4.1000000000000002E-2</v>
      </c>
      <c r="N245" s="34" t="s">
        <v>6</v>
      </c>
      <c r="O245" s="69"/>
      <c r="P245" s="69"/>
      <c r="Q245" s="8">
        <f t="shared" si="34"/>
        <v>7.7467499999999996</v>
      </c>
      <c r="R245" s="8">
        <f t="shared" si="32"/>
        <v>0.16500000000000001</v>
      </c>
      <c r="S245" s="8">
        <f t="shared" si="33"/>
        <v>0.33825</v>
      </c>
    </row>
    <row r="246" spans="1:19" ht="15" customHeight="1" x14ac:dyDescent="0.25">
      <c r="A246" s="1" t="s">
        <v>424</v>
      </c>
      <c r="B246" s="2">
        <v>2835</v>
      </c>
      <c r="C246" s="1" t="s">
        <v>1</v>
      </c>
      <c r="D246" s="2" t="s">
        <v>306</v>
      </c>
      <c r="E246" s="2" t="s">
        <v>3</v>
      </c>
      <c r="F246" s="2" t="s">
        <v>4</v>
      </c>
      <c r="G246" s="2" t="s">
        <v>137</v>
      </c>
      <c r="H246" s="3">
        <v>80</v>
      </c>
      <c r="I246" s="4">
        <f t="shared" ref="I246:I251" si="37">100%-J246</f>
        <v>0.19999999999999996</v>
      </c>
      <c r="J246" s="5">
        <v>0.8</v>
      </c>
      <c r="K246" s="5">
        <f t="shared" si="36"/>
        <v>1</v>
      </c>
      <c r="L246" s="5">
        <v>0</v>
      </c>
      <c r="M246" s="5">
        <v>0</v>
      </c>
      <c r="N246" s="6" t="s">
        <v>24</v>
      </c>
      <c r="O246" s="69"/>
      <c r="P246" s="69"/>
      <c r="Q246" s="8">
        <f t="shared" si="34"/>
        <v>132.00000000000003</v>
      </c>
      <c r="R246" s="8">
        <f t="shared" si="32"/>
        <v>0</v>
      </c>
      <c r="S246" s="8">
        <f t="shared" si="33"/>
        <v>0</v>
      </c>
    </row>
    <row r="247" spans="1:19" ht="15" customHeight="1" x14ac:dyDescent="0.25">
      <c r="A247" s="1" t="s">
        <v>425</v>
      </c>
      <c r="B247" s="2">
        <v>2835</v>
      </c>
      <c r="C247" s="1" t="s">
        <v>1</v>
      </c>
      <c r="D247" s="2" t="s">
        <v>306</v>
      </c>
      <c r="E247" s="2" t="s">
        <v>3</v>
      </c>
      <c r="F247" s="2" t="s">
        <v>4</v>
      </c>
      <c r="G247" s="2" t="s">
        <v>139</v>
      </c>
      <c r="H247" s="3">
        <v>80</v>
      </c>
      <c r="I247" s="4">
        <f t="shared" si="37"/>
        <v>0.59000000000000008</v>
      </c>
      <c r="J247" s="5">
        <v>0.41</v>
      </c>
      <c r="K247" s="5">
        <f t="shared" si="36"/>
        <v>0.92449999999999999</v>
      </c>
      <c r="L247" s="5">
        <v>0.02</v>
      </c>
      <c r="M247" s="5">
        <v>5.5500000000000001E-2</v>
      </c>
      <c r="N247" s="6" t="s">
        <v>6</v>
      </c>
      <c r="O247" s="69"/>
      <c r="P247" s="69"/>
      <c r="Q247" s="8">
        <f t="shared" si="34"/>
        <v>21.200822033898298</v>
      </c>
      <c r="R247" s="8">
        <f t="shared" si="32"/>
        <v>0.45864406779661004</v>
      </c>
      <c r="S247" s="8">
        <f t="shared" si="33"/>
        <v>1.2727372881355929</v>
      </c>
    </row>
    <row r="248" spans="1:19" ht="15" customHeight="1" x14ac:dyDescent="0.25">
      <c r="A248" s="1" t="s">
        <v>426</v>
      </c>
      <c r="B248" s="2">
        <v>2835</v>
      </c>
      <c r="C248" s="1" t="s">
        <v>1</v>
      </c>
      <c r="D248" s="2" t="s">
        <v>306</v>
      </c>
      <c r="E248" s="2" t="s">
        <v>3</v>
      </c>
      <c r="F248" s="2" t="s">
        <v>4</v>
      </c>
      <c r="G248" s="2" t="s">
        <v>141</v>
      </c>
      <c r="H248" s="3">
        <v>80</v>
      </c>
      <c r="I248" s="4">
        <f t="shared" si="37"/>
        <v>0.42000000000000004</v>
      </c>
      <c r="J248" s="9">
        <v>0.57999999999999996</v>
      </c>
      <c r="K248" s="5">
        <f t="shared" si="36"/>
        <v>0.92420000000000002</v>
      </c>
      <c r="L248" s="9">
        <v>0</v>
      </c>
      <c r="M248" s="9">
        <v>7.5800000000000006E-2</v>
      </c>
      <c r="N248" s="6" t="s">
        <v>6</v>
      </c>
      <c r="O248" s="69"/>
      <c r="P248" s="69"/>
      <c r="Q248" s="8">
        <f t="shared" si="34"/>
        <v>42.117114285714287</v>
      </c>
      <c r="R248" s="8">
        <f t="shared" si="32"/>
        <v>0</v>
      </c>
      <c r="S248" s="8">
        <f t="shared" si="33"/>
        <v>3.4543142857142857</v>
      </c>
    </row>
    <row r="249" spans="1:19" ht="15" customHeight="1" x14ac:dyDescent="0.25">
      <c r="A249" s="10" t="s">
        <v>427</v>
      </c>
      <c r="B249" s="2">
        <v>2835</v>
      </c>
      <c r="C249" s="1" t="s">
        <v>1</v>
      </c>
      <c r="D249" s="2" t="s">
        <v>306</v>
      </c>
      <c r="E249" s="2" t="s">
        <v>3</v>
      </c>
      <c r="F249" s="2" t="s">
        <v>4</v>
      </c>
      <c r="G249" s="2" t="s">
        <v>143</v>
      </c>
      <c r="H249" s="3">
        <v>80</v>
      </c>
      <c r="I249" s="4">
        <f t="shared" si="37"/>
        <v>0.72</v>
      </c>
      <c r="J249" s="9">
        <v>0.28000000000000003</v>
      </c>
      <c r="K249" s="5">
        <f t="shared" si="36"/>
        <v>0.90799999999999992</v>
      </c>
      <c r="L249" s="9">
        <v>0.05</v>
      </c>
      <c r="M249" s="9">
        <v>4.2000000000000003E-2</v>
      </c>
      <c r="N249" s="6" t="s">
        <v>266</v>
      </c>
      <c r="O249" s="69"/>
      <c r="P249" s="69"/>
      <c r="Q249" s="8">
        <f t="shared" si="34"/>
        <v>11.652666666666669</v>
      </c>
      <c r="R249" s="8">
        <f t="shared" si="32"/>
        <v>0.64166666666666683</v>
      </c>
      <c r="S249" s="8">
        <f t="shared" si="33"/>
        <v>0.53900000000000015</v>
      </c>
    </row>
    <row r="250" spans="1:19" ht="15" customHeight="1" x14ac:dyDescent="0.25">
      <c r="A250" s="1" t="s">
        <v>428</v>
      </c>
      <c r="B250" s="3">
        <v>2835</v>
      </c>
      <c r="C250" s="1" t="s">
        <v>1</v>
      </c>
      <c r="D250" s="3" t="s">
        <v>306</v>
      </c>
      <c r="E250" s="3" t="s">
        <v>3</v>
      </c>
      <c r="F250" s="3" t="s">
        <v>4</v>
      </c>
      <c r="G250" s="3" t="s">
        <v>261</v>
      </c>
      <c r="H250" s="3">
        <v>80</v>
      </c>
      <c r="I250" s="32">
        <f t="shared" si="37"/>
        <v>0.745</v>
      </c>
      <c r="J250" s="33">
        <v>0.255</v>
      </c>
      <c r="K250" s="33">
        <f t="shared" si="36"/>
        <v>0.91849999999999998</v>
      </c>
      <c r="L250" s="33">
        <v>0.05</v>
      </c>
      <c r="M250" s="33">
        <v>3.15E-2</v>
      </c>
      <c r="N250" s="34" t="s">
        <v>24</v>
      </c>
      <c r="O250" s="69"/>
      <c r="P250" s="69"/>
      <c r="Q250" s="8">
        <f t="shared" si="34"/>
        <v>10.37473489932886</v>
      </c>
      <c r="R250" s="8">
        <f t="shared" si="32"/>
        <v>0.56476510067114105</v>
      </c>
      <c r="S250" s="8">
        <f t="shared" si="33"/>
        <v>0.35580201342281881</v>
      </c>
    </row>
    <row r="251" spans="1:19" ht="15" customHeight="1" x14ac:dyDescent="0.25">
      <c r="A251" s="1" t="s">
        <v>177</v>
      </c>
      <c r="B251" s="1">
        <v>3030</v>
      </c>
      <c r="C251" s="1" t="s">
        <v>14</v>
      </c>
      <c r="D251" s="1" t="s">
        <v>15</v>
      </c>
      <c r="E251" s="1" t="s">
        <v>3</v>
      </c>
      <c r="F251" s="1" t="s">
        <v>4</v>
      </c>
      <c r="G251" s="1" t="s">
        <v>137</v>
      </c>
      <c r="H251" s="3">
        <v>80</v>
      </c>
      <c r="I251" s="11">
        <f t="shared" si="37"/>
        <v>0.63</v>
      </c>
      <c r="J251" s="12">
        <v>0.37</v>
      </c>
      <c r="K251" s="12">
        <f t="shared" si="36"/>
        <v>0.89304347826086961</v>
      </c>
      <c r="L251" s="13">
        <v>0.02</v>
      </c>
      <c r="M251" s="13">
        <v>8.6956521739130432E-2</v>
      </c>
      <c r="N251" s="6" t="s">
        <v>6</v>
      </c>
      <c r="O251" s="69"/>
      <c r="P251" s="69"/>
      <c r="Q251" s="8">
        <f t="shared" si="34"/>
        <v>17.308033126293996</v>
      </c>
      <c r="R251" s="8">
        <f t="shared" si="32"/>
        <v>0.38761904761904759</v>
      </c>
      <c r="S251" s="8">
        <f t="shared" si="33"/>
        <v>1.6853002070393373</v>
      </c>
    </row>
    <row r="252" spans="1:19" s="55" customFormat="1" ht="15" customHeight="1" x14ac:dyDescent="0.25">
      <c r="A252" s="1" t="s">
        <v>178</v>
      </c>
      <c r="B252" s="14">
        <v>3030</v>
      </c>
      <c r="C252" s="1" t="s">
        <v>14</v>
      </c>
      <c r="D252" s="14" t="s">
        <v>15</v>
      </c>
      <c r="E252" s="14" t="s">
        <v>3</v>
      </c>
      <c r="F252" s="14" t="s">
        <v>4</v>
      </c>
      <c r="G252" s="14" t="s">
        <v>139</v>
      </c>
      <c r="H252" s="3">
        <v>80</v>
      </c>
      <c r="I252" s="15">
        <f>100%-J252</f>
        <v>0.52500000000000002</v>
      </c>
      <c r="J252" s="16">
        <v>0.47499999999999998</v>
      </c>
      <c r="K252" s="16">
        <f t="shared" si="36"/>
        <v>0.54149999999999998</v>
      </c>
      <c r="L252" s="17">
        <v>0.4</v>
      </c>
      <c r="M252" s="17">
        <v>5.8500000000000003E-2</v>
      </c>
      <c r="N252" s="18" t="s">
        <v>266</v>
      </c>
      <c r="O252" s="69"/>
      <c r="P252" s="69"/>
      <c r="Q252" s="8">
        <f t="shared" si="34"/>
        <v>16.167642857142855</v>
      </c>
      <c r="R252" s="8">
        <f t="shared" si="32"/>
        <v>11.942857142857143</v>
      </c>
      <c r="S252" s="8">
        <f t="shared" si="33"/>
        <v>1.7466428571428572</v>
      </c>
    </row>
    <row r="253" spans="1:19" ht="15" customHeight="1" x14ac:dyDescent="0.25">
      <c r="A253" s="1" t="s">
        <v>179</v>
      </c>
      <c r="B253" s="19">
        <v>3030</v>
      </c>
      <c r="C253" s="1" t="s">
        <v>14</v>
      </c>
      <c r="D253" s="19" t="s">
        <v>15</v>
      </c>
      <c r="E253" s="19" t="s">
        <v>3</v>
      </c>
      <c r="F253" s="19" t="s">
        <v>4</v>
      </c>
      <c r="G253" s="19" t="s">
        <v>141</v>
      </c>
      <c r="H253" s="3">
        <v>80</v>
      </c>
      <c r="I253" s="20">
        <f t="shared" ref="I253:I261" si="38">100%-J253</f>
        <v>0.6</v>
      </c>
      <c r="J253" s="16">
        <v>0.4</v>
      </c>
      <c r="K253" s="21">
        <f t="shared" si="36"/>
        <v>0.55799999999999994</v>
      </c>
      <c r="L253" s="22">
        <v>0.4</v>
      </c>
      <c r="M253" s="22">
        <v>4.2000000000000003E-2</v>
      </c>
      <c r="N253" s="18" t="s">
        <v>6</v>
      </c>
      <c r="O253" s="69"/>
      <c r="P253" s="69"/>
      <c r="Q253" s="8">
        <f t="shared" si="34"/>
        <v>12.275999999999998</v>
      </c>
      <c r="R253" s="8">
        <f t="shared" si="32"/>
        <v>8.8000000000000007</v>
      </c>
      <c r="S253" s="8">
        <f t="shared" si="33"/>
        <v>0.92400000000000004</v>
      </c>
    </row>
    <row r="254" spans="1:19" ht="15" customHeight="1" x14ac:dyDescent="0.25">
      <c r="A254" s="1" t="s">
        <v>180</v>
      </c>
      <c r="B254" s="2">
        <v>3030</v>
      </c>
      <c r="C254" s="1" t="s">
        <v>14</v>
      </c>
      <c r="D254" s="2" t="s">
        <v>15</v>
      </c>
      <c r="E254" s="2" t="s">
        <v>3</v>
      </c>
      <c r="F254" s="2" t="s">
        <v>4</v>
      </c>
      <c r="G254" s="23" t="s">
        <v>143</v>
      </c>
      <c r="H254" s="3">
        <v>80</v>
      </c>
      <c r="I254" s="4">
        <f t="shared" si="38"/>
        <v>0.67300000000000004</v>
      </c>
      <c r="J254" s="9">
        <v>0.32700000000000001</v>
      </c>
      <c r="K254" s="5">
        <f t="shared" si="36"/>
        <v>0.56499999999999995</v>
      </c>
      <c r="L254" s="24">
        <v>0.4</v>
      </c>
      <c r="M254" s="24">
        <v>3.5000000000000003E-2</v>
      </c>
      <c r="N254" s="6" t="s">
        <v>6</v>
      </c>
      <c r="O254" s="69"/>
      <c r="P254" s="69"/>
      <c r="Q254" s="8">
        <f t="shared" si="34"/>
        <v>9.059309063893016</v>
      </c>
      <c r="R254" s="8">
        <f t="shared" si="32"/>
        <v>6.4136701337295694</v>
      </c>
      <c r="S254" s="8">
        <f t="shared" si="33"/>
        <v>0.56119613670133739</v>
      </c>
    </row>
    <row r="255" spans="1:19" ht="15" customHeight="1" x14ac:dyDescent="0.25">
      <c r="A255" s="1" t="s">
        <v>429</v>
      </c>
      <c r="B255" s="3">
        <v>3030</v>
      </c>
      <c r="C255" s="1" t="s">
        <v>14</v>
      </c>
      <c r="D255" s="3" t="s">
        <v>15</v>
      </c>
      <c r="E255" s="3" t="s">
        <v>3</v>
      </c>
      <c r="F255" s="3" t="s">
        <v>4</v>
      </c>
      <c r="G255" s="3" t="s">
        <v>261</v>
      </c>
      <c r="H255" s="3">
        <v>80</v>
      </c>
      <c r="I255" s="32">
        <f t="shared" si="38"/>
        <v>0.8</v>
      </c>
      <c r="J255" s="33">
        <v>0.2</v>
      </c>
      <c r="K255" s="33">
        <f t="shared" si="36"/>
        <v>0.95014925373134329</v>
      </c>
      <c r="L255" s="36">
        <v>0.02</v>
      </c>
      <c r="M255" s="36">
        <v>2.9850746268656716E-2</v>
      </c>
      <c r="N255" s="34" t="s">
        <v>6</v>
      </c>
      <c r="O255" s="69"/>
      <c r="P255" s="69"/>
      <c r="Q255" s="8">
        <f t="shared" si="34"/>
        <v>7.8387313432835821</v>
      </c>
      <c r="R255" s="8">
        <f t="shared" si="32"/>
        <v>0.16500000000000001</v>
      </c>
      <c r="S255" s="8">
        <f t="shared" si="33"/>
        <v>0.2462686567164179</v>
      </c>
    </row>
    <row r="256" spans="1:19" ht="15" customHeight="1" x14ac:dyDescent="0.25">
      <c r="A256" s="1" t="s">
        <v>181</v>
      </c>
      <c r="B256" s="19">
        <v>3030</v>
      </c>
      <c r="C256" s="1" t="s">
        <v>14</v>
      </c>
      <c r="D256" s="19" t="s">
        <v>15</v>
      </c>
      <c r="E256" s="19" t="s">
        <v>20</v>
      </c>
      <c r="F256" s="19" t="s">
        <v>21</v>
      </c>
      <c r="G256" s="19" t="s">
        <v>137</v>
      </c>
      <c r="H256" s="3">
        <v>80</v>
      </c>
      <c r="I256" s="20">
        <f t="shared" si="38"/>
        <v>0.51</v>
      </c>
      <c r="J256" s="21">
        <v>0.49</v>
      </c>
      <c r="K256" s="21">
        <f t="shared" si="36"/>
        <v>0.90999999999999992</v>
      </c>
      <c r="L256" s="25">
        <v>0.02</v>
      </c>
      <c r="M256" s="25">
        <v>7.0000000000000007E-2</v>
      </c>
      <c r="N256" s="18" t="s">
        <v>266</v>
      </c>
      <c r="O256" s="69"/>
      <c r="P256" s="69"/>
      <c r="Q256" s="8">
        <f t="shared" si="34"/>
        <v>28.852352941176466</v>
      </c>
      <c r="R256" s="8">
        <f t="shared" si="32"/>
        <v>0.63411764705882345</v>
      </c>
      <c r="S256" s="8">
        <f t="shared" si="33"/>
        <v>2.2194117647058822</v>
      </c>
    </row>
    <row r="257" spans="1:19" ht="15" customHeight="1" x14ac:dyDescent="0.25">
      <c r="A257" s="1" t="s">
        <v>182</v>
      </c>
      <c r="B257" s="2">
        <v>3030</v>
      </c>
      <c r="C257" s="1" t="s">
        <v>14</v>
      </c>
      <c r="D257" s="2" t="s">
        <v>15</v>
      </c>
      <c r="E257" s="2" t="s">
        <v>20</v>
      </c>
      <c r="F257" s="2" t="s">
        <v>21</v>
      </c>
      <c r="G257" s="2" t="s">
        <v>139</v>
      </c>
      <c r="H257" s="3">
        <v>80</v>
      </c>
      <c r="I257" s="4">
        <f t="shared" si="38"/>
        <v>0.61</v>
      </c>
      <c r="J257" s="5">
        <v>0.39</v>
      </c>
      <c r="K257" s="5">
        <f t="shared" si="36"/>
        <v>0.50700000000000012</v>
      </c>
      <c r="L257" s="5">
        <v>0.43</v>
      </c>
      <c r="M257" s="5">
        <v>6.3E-2</v>
      </c>
      <c r="N257" s="6" t="s">
        <v>24</v>
      </c>
      <c r="O257" s="69"/>
      <c r="P257" s="69"/>
      <c r="Q257" s="8">
        <f t="shared" si="34"/>
        <v>10.696868852459019</v>
      </c>
      <c r="R257" s="8">
        <f t="shared" si="32"/>
        <v>9.0722950819672139</v>
      </c>
      <c r="S257" s="8">
        <f t="shared" si="33"/>
        <v>1.3291967213114755</v>
      </c>
    </row>
    <row r="258" spans="1:19" ht="15.75" customHeight="1" x14ac:dyDescent="0.25">
      <c r="A258" s="1" t="s">
        <v>183</v>
      </c>
      <c r="B258" s="19">
        <v>3030</v>
      </c>
      <c r="C258" s="1" t="s">
        <v>14</v>
      </c>
      <c r="D258" s="19" t="s">
        <v>15</v>
      </c>
      <c r="E258" s="19" t="s">
        <v>20</v>
      </c>
      <c r="F258" s="19" t="s">
        <v>21</v>
      </c>
      <c r="G258" s="19" t="s">
        <v>141</v>
      </c>
      <c r="H258" s="3">
        <v>80</v>
      </c>
      <c r="I258" s="20">
        <f t="shared" si="38"/>
        <v>0.65</v>
      </c>
      <c r="J258" s="16">
        <v>0.35</v>
      </c>
      <c r="K258" s="21">
        <f t="shared" si="36"/>
        <v>0.5149999999999999</v>
      </c>
      <c r="L258" s="22">
        <v>0.43099999999999999</v>
      </c>
      <c r="M258" s="22">
        <v>5.3999999999999999E-2</v>
      </c>
      <c r="N258" s="18" t="s">
        <v>24</v>
      </c>
      <c r="O258" s="69"/>
      <c r="P258" s="69"/>
      <c r="Q258" s="8">
        <f t="shared" si="34"/>
        <v>9.1511538461538429</v>
      </c>
      <c r="R258" s="8">
        <f t="shared" si="32"/>
        <v>7.65853846153846</v>
      </c>
      <c r="S258" s="8">
        <f t="shared" si="33"/>
        <v>0.95953846153846134</v>
      </c>
    </row>
    <row r="259" spans="1:19" ht="15" customHeight="1" x14ac:dyDescent="0.25">
      <c r="A259" s="1" t="s">
        <v>184</v>
      </c>
      <c r="B259" s="19">
        <v>3030</v>
      </c>
      <c r="C259" s="1" t="s">
        <v>14</v>
      </c>
      <c r="D259" s="19" t="s">
        <v>15</v>
      </c>
      <c r="E259" s="19" t="s">
        <v>20</v>
      </c>
      <c r="F259" s="19" t="s">
        <v>21</v>
      </c>
      <c r="G259" s="19" t="s">
        <v>143</v>
      </c>
      <c r="H259" s="3">
        <v>80</v>
      </c>
      <c r="I259" s="20">
        <f t="shared" si="38"/>
        <v>0.69</v>
      </c>
      <c r="J259" s="21">
        <v>0.31</v>
      </c>
      <c r="K259" s="21">
        <f t="shared" si="36"/>
        <v>0.55999999999999994</v>
      </c>
      <c r="L259" s="21">
        <v>0.4</v>
      </c>
      <c r="M259" s="21">
        <v>0.04</v>
      </c>
      <c r="N259" s="18" t="s">
        <v>24</v>
      </c>
      <c r="O259" s="69"/>
      <c r="P259" s="69"/>
      <c r="Q259" s="8">
        <f t="shared" si="34"/>
        <v>8.3026086956521734</v>
      </c>
      <c r="R259" s="8">
        <f t="shared" si="32"/>
        <v>5.9304347826086961</v>
      </c>
      <c r="S259" s="8">
        <f t="shared" si="33"/>
        <v>0.59304347826086967</v>
      </c>
    </row>
    <row r="260" spans="1:19" ht="15" customHeight="1" x14ac:dyDescent="0.25">
      <c r="A260" s="1" t="s">
        <v>430</v>
      </c>
      <c r="B260" s="3">
        <v>3030</v>
      </c>
      <c r="C260" s="1" t="s">
        <v>14</v>
      </c>
      <c r="D260" s="3" t="s">
        <v>15</v>
      </c>
      <c r="E260" s="3" t="s">
        <v>20</v>
      </c>
      <c r="F260" s="3" t="s">
        <v>21</v>
      </c>
      <c r="G260" s="3" t="s">
        <v>261</v>
      </c>
      <c r="H260" s="3">
        <v>80</v>
      </c>
      <c r="I260" s="32">
        <f t="shared" si="38"/>
        <v>0.74299999999999999</v>
      </c>
      <c r="J260" s="33">
        <v>0.25700000000000001</v>
      </c>
      <c r="K260" s="33">
        <f t="shared" si="36"/>
        <v>0.52</v>
      </c>
      <c r="L260" s="33">
        <v>0.45</v>
      </c>
      <c r="M260" s="33">
        <v>0.03</v>
      </c>
      <c r="N260" s="34" t="s">
        <v>6</v>
      </c>
      <c r="O260" s="69"/>
      <c r="P260" s="69"/>
      <c r="Q260" s="8">
        <f t="shared" si="34"/>
        <v>5.9355585464333789</v>
      </c>
      <c r="R260" s="8">
        <f t="shared" si="32"/>
        <v>5.1365410497981161</v>
      </c>
      <c r="S260" s="8">
        <f t="shared" si="33"/>
        <v>0.34243606998654108</v>
      </c>
    </row>
    <row r="261" spans="1:19" x14ac:dyDescent="0.25">
      <c r="A261" s="26" t="s">
        <v>185</v>
      </c>
      <c r="B261" s="1">
        <v>5050</v>
      </c>
      <c r="C261" s="1" t="s">
        <v>14</v>
      </c>
      <c r="D261" s="1" t="s">
        <v>15</v>
      </c>
      <c r="E261" s="1" t="s">
        <v>27</v>
      </c>
      <c r="F261" s="1" t="s">
        <v>28</v>
      </c>
      <c r="G261" s="1" t="s">
        <v>137</v>
      </c>
      <c r="H261" s="3">
        <v>80</v>
      </c>
      <c r="I261" s="11">
        <f t="shared" si="38"/>
        <v>0.53499999999999992</v>
      </c>
      <c r="J261" s="12">
        <v>0.46500000000000002</v>
      </c>
      <c r="K261" s="12">
        <f t="shared" si="36"/>
        <v>0.90749999999999997</v>
      </c>
      <c r="L261" s="13">
        <v>0.02</v>
      </c>
      <c r="M261" s="13">
        <v>7.2499999999999995E-2</v>
      </c>
      <c r="N261" s="6" t="s">
        <v>6</v>
      </c>
      <c r="O261" s="69"/>
      <c r="P261" s="69"/>
      <c r="Q261" s="8">
        <f t="shared" si="34"/>
        <v>26.029135514018698</v>
      </c>
      <c r="R261" s="8">
        <f t="shared" si="32"/>
        <v>0.57364485981308433</v>
      </c>
      <c r="S261" s="8">
        <f t="shared" si="33"/>
        <v>2.0794626168224304</v>
      </c>
    </row>
    <row r="262" spans="1:19" x14ac:dyDescent="0.25">
      <c r="A262" s="26" t="s">
        <v>431</v>
      </c>
      <c r="B262" s="1">
        <v>5050</v>
      </c>
      <c r="C262" s="1" t="s">
        <v>14</v>
      </c>
      <c r="D262" s="1" t="s">
        <v>15</v>
      </c>
      <c r="E262" s="1" t="s">
        <v>27</v>
      </c>
      <c r="F262" s="1" t="s">
        <v>28</v>
      </c>
      <c r="G262" s="1" t="s">
        <v>139</v>
      </c>
      <c r="H262" s="3">
        <v>80</v>
      </c>
      <c r="I262" s="11">
        <f>100%-J262</f>
        <v>0.68599999999999994</v>
      </c>
      <c r="J262" s="12">
        <v>0.314</v>
      </c>
      <c r="K262" s="12">
        <f t="shared" si="36"/>
        <v>0.90700000000000003</v>
      </c>
      <c r="L262" s="13">
        <v>0.02</v>
      </c>
      <c r="M262" s="13">
        <v>7.2999999999999995E-2</v>
      </c>
      <c r="N262" s="6" t="s">
        <v>6</v>
      </c>
      <c r="O262" s="69"/>
      <c r="P262" s="69"/>
      <c r="Q262" s="8">
        <f t="shared" si="34"/>
        <v>13.70019533527697</v>
      </c>
      <c r="R262" s="8">
        <f t="shared" si="32"/>
        <v>0.30209912536443151</v>
      </c>
      <c r="S262" s="8">
        <f t="shared" si="33"/>
        <v>1.1026618075801751</v>
      </c>
    </row>
    <row r="263" spans="1:19" x14ac:dyDescent="0.25">
      <c r="A263" s="26" t="s">
        <v>187</v>
      </c>
      <c r="B263" s="2">
        <v>5050</v>
      </c>
      <c r="C263" s="26" t="s">
        <v>14</v>
      </c>
      <c r="D263" s="2" t="s">
        <v>15</v>
      </c>
      <c r="E263" s="2" t="s">
        <v>27</v>
      </c>
      <c r="F263" s="2" t="s">
        <v>28</v>
      </c>
      <c r="G263" s="2" t="s">
        <v>141</v>
      </c>
      <c r="H263" s="3">
        <v>80</v>
      </c>
      <c r="I263" s="4">
        <f t="shared" ref="I263" si="39">100%-J263</f>
        <v>0.63</v>
      </c>
      <c r="J263" s="9">
        <v>0.37</v>
      </c>
      <c r="K263" s="5">
        <f t="shared" si="36"/>
        <v>0.85299999999999998</v>
      </c>
      <c r="L263" s="24">
        <v>0.1</v>
      </c>
      <c r="M263" s="24">
        <v>4.7E-2</v>
      </c>
      <c r="N263" s="6" t="s">
        <v>266</v>
      </c>
      <c r="O263" s="69"/>
      <c r="P263" s="69"/>
      <c r="Q263" s="8">
        <f t="shared" si="34"/>
        <v>16.531952380952379</v>
      </c>
      <c r="R263" s="8">
        <f t="shared" si="32"/>
        <v>1.9380952380952381</v>
      </c>
      <c r="S263" s="8">
        <f t="shared" si="33"/>
        <v>0.91090476190476188</v>
      </c>
    </row>
    <row r="264" spans="1:19" x14ac:dyDescent="0.25">
      <c r="A264" s="26" t="s">
        <v>188</v>
      </c>
      <c r="B264" s="27">
        <v>5050</v>
      </c>
      <c r="C264" s="26" t="s">
        <v>14</v>
      </c>
      <c r="D264" s="27" t="s">
        <v>15</v>
      </c>
      <c r="E264" s="27" t="s">
        <v>27</v>
      </c>
      <c r="F264" s="27" t="s">
        <v>28</v>
      </c>
      <c r="G264" s="27" t="s">
        <v>143</v>
      </c>
      <c r="H264" s="3">
        <v>80</v>
      </c>
      <c r="I264" s="28">
        <f>100%-J264</f>
        <v>0.81600000000000006</v>
      </c>
      <c r="J264" s="29">
        <v>0.184</v>
      </c>
      <c r="K264" s="29">
        <f t="shared" si="36"/>
        <v>0.93499999999999994</v>
      </c>
      <c r="L264" s="30">
        <v>0.02</v>
      </c>
      <c r="M264" s="30">
        <v>4.4999999999999998E-2</v>
      </c>
      <c r="N264" s="31" t="s">
        <v>6</v>
      </c>
      <c r="O264" s="69"/>
      <c r="P264" s="69"/>
      <c r="Q264" s="8">
        <f t="shared" si="34"/>
        <v>6.9574999999999987</v>
      </c>
      <c r="R264" s="8">
        <f t="shared" si="32"/>
        <v>0.14882352941176469</v>
      </c>
      <c r="S264" s="8">
        <f t="shared" si="33"/>
        <v>0.33485294117647052</v>
      </c>
    </row>
    <row r="265" spans="1:19" x14ac:dyDescent="0.25">
      <c r="A265" s="26" t="s">
        <v>432</v>
      </c>
      <c r="B265" s="3">
        <v>5050</v>
      </c>
      <c r="C265" s="26" t="s">
        <v>14</v>
      </c>
      <c r="D265" s="3" t="s">
        <v>15</v>
      </c>
      <c r="E265" s="3" t="s">
        <v>27</v>
      </c>
      <c r="F265" s="3" t="s">
        <v>28</v>
      </c>
      <c r="G265" s="3" t="s">
        <v>261</v>
      </c>
      <c r="H265" s="3">
        <v>80</v>
      </c>
      <c r="I265" s="32">
        <f t="shared" ref="I265:I275" si="40">100%-J265</f>
        <v>0.83</v>
      </c>
      <c r="J265" s="33">
        <v>0.17</v>
      </c>
      <c r="K265" s="33">
        <f t="shared" si="36"/>
        <v>0.94774193548387098</v>
      </c>
      <c r="L265" s="36">
        <v>0.02</v>
      </c>
      <c r="M265" s="36">
        <v>3.2258064516129031E-2</v>
      </c>
      <c r="N265" s="34" t="s">
        <v>6</v>
      </c>
      <c r="O265" s="69"/>
      <c r="P265" s="69"/>
      <c r="Q265" s="8">
        <f t="shared" si="34"/>
        <v>6.4058219976680935</v>
      </c>
      <c r="R265" s="8">
        <f t="shared" si="32"/>
        <v>0.1351807228915663</v>
      </c>
      <c r="S265" s="8">
        <f t="shared" si="33"/>
        <v>0.2180334240186553</v>
      </c>
    </row>
    <row r="266" spans="1:19" x14ac:dyDescent="0.25">
      <c r="A266" s="26" t="s">
        <v>189</v>
      </c>
      <c r="B266" s="3">
        <v>5050</v>
      </c>
      <c r="C266" s="26" t="s">
        <v>14</v>
      </c>
      <c r="D266" s="3" t="s">
        <v>15</v>
      </c>
      <c r="E266" s="3" t="s">
        <v>33</v>
      </c>
      <c r="F266" s="3" t="s">
        <v>34</v>
      </c>
      <c r="G266" s="3" t="s">
        <v>137</v>
      </c>
      <c r="H266" s="3">
        <v>80</v>
      </c>
      <c r="I266" s="32">
        <f t="shared" si="40"/>
        <v>0.55000000000000004</v>
      </c>
      <c r="J266" s="33">
        <v>0.45</v>
      </c>
      <c r="K266" s="33">
        <f t="shared" si="36"/>
        <v>0.91749999999999998</v>
      </c>
      <c r="L266" s="36">
        <v>0.02</v>
      </c>
      <c r="M266" s="36">
        <v>6.25E-2</v>
      </c>
      <c r="N266" s="34" t="s">
        <v>6</v>
      </c>
      <c r="O266" s="69"/>
      <c r="P266" s="69"/>
      <c r="Q266" s="8">
        <f t="shared" si="34"/>
        <v>24.772499999999997</v>
      </c>
      <c r="R266" s="8">
        <f t="shared" si="32"/>
        <v>0.53999999999999992</v>
      </c>
      <c r="S266" s="8">
        <f t="shared" si="33"/>
        <v>1.6874999999999998</v>
      </c>
    </row>
    <row r="267" spans="1:19" x14ac:dyDescent="0.25">
      <c r="A267" s="26" t="s">
        <v>190</v>
      </c>
      <c r="B267" s="3">
        <v>5050</v>
      </c>
      <c r="C267" s="26" t="s">
        <v>14</v>
      </c>
      <c r="D267" s="3" t="s">
        <v>15</v>
      </c>
      <c r="E267" s="3" t="s">
        <v>33</v>
      </c>
      <c r="F267" s="3" t="s">
        <v>36</v>
      </c>
      <c r="G267" s="3" t="s">
        <v>137</v>
      </c>
      <c r="H267" s="3">
        <v>80</v>
      </c>
      <c r="I267" s="32">
        <f t="shared" si="40"/>
        <v>0.56000000000000005</v>
      </c>
      <c r="J267" s="33">
        <v>0.44</v>
      </c>
      <c r="K267" s="33">
        <f t="shared" si="36"/>
        <v>4.4999999999999998E-2</v>
      </c>
      <c r="L267" s="36">
        <v>0.88</v>
      </c>
      <c r="M267" s="36">
        <v>7.4999999999999997E-2</v>
      </c>
      <c r="N267" s="34" t="s">
        <v>6</v>
      </c>
      <c r="O267" s="69"/>
      <c r="P267" s="69"/>
      <c r="Q267" s="8">
        <f t="shared" si="34"/>
        <v>1.1667857142857141</v>
      </c>
      <c r="R267" s="8">
        <f t="shared" si="32"/>
        <v>22.817142857142855</v>
      </c>
      <c r="S267" s="8">
        <f t="shared" si="33"/>
        <v>1.9446428571428569</v>
      </c>
    </row>
    <row r="268" spans="1:19" x14ac:dyDescent="0.25">
      <c r="A268" s="26" t="s">
        <v>192</v>
      </c>
      <c r="B268" s="3">
        <v>5050</v>
      </c>
      <c r="C268" s="1" t="s">
        <v>14</v>
      </c>
      <c r="D268" s="3" t="s">
        <v>15</v>
      </c>
      <c r="E268" s="3" t="s">
        <v>33</v>
      </c>
      <c r="F268" s="3" t="s">
        <v>34</v>
      </c>
      <c r="G268" s="3" t="s">
        <v>139</v>
      </c>
      <c r="H268" s="3">
        <v>80</v>
      </c>
      <c r="I268" s="32">
        <f t="shared" si="40"/>
        <v>0.6</v>
      </c>
      <c r="J268" s="33">
        <v>0.4</v>
      </c>
      <c r="K268" s="33">
        <f t="shared" si="36"/>
        <v>4.4999999999999984E-2</v>
      </c>
      <c r="L268" s="36">
        <v>0.88800000000000001</v>
      </c>
      <c r="M268" s="36">
        <v>6.7000000000000004E-2</v>
      </c>
      <c r="N268" s="34" t="s">
        <v>6</v>
      </c>
      <c r="O268" s="69"/>
      <c r="P268" s="69"/>
      <c r="Q268" s="8">
        <f t="shared" si="34"/>
        <v>0.98999999999999966</v>
      </c>
      <c r="R268" s="8">
        <f t="shared" si="32"/>
        <v>19.536000000000001</v>
      </c>
      <c r="S268" s="8">
        <f t="shared" si="33"/>
        <v>1.4740000000000002</v>
      </c>
    </row>
    <row r="269" spans="1:19" x14ac:dyDescent="0.25">
      <c r="A269" s="26" t="s">
        <v>193</v>
      </c>
      <c r="B269" s="3">
        <v>5050</v>
      </c>
      <c r="C269" s="1" t="s">
        <v>14</v>
      </c>
      <c r="D269" s="3" t="s">
        <v>15</v>
      </c>
      <c r="E269" s="3" t="s">
        <v>33</v>
      </c>
      <c r="F269" s="3" t="s">
        <v>36</v>
      </c>
      <c r="G269" s="3" t="s">
        <v>139</v>
      </c>
      <c r="H269" s="3">
        <v>80</v>
      </c>
      <c r="I269" s="32">
        <f t="shared" si="40"/>
        <v>0.58000000000000007</v>
      </c>
      <c r="J269" s="33">
        <v>0.42</v>
      </c>
      <c r="K269" s="33">
        <f t="shared" si="36"/>
        <v>4.500000000000004E-2</v>
      </c>
      <c r="L269" s="36">
        <v>0.89249999999999996</v>
      </c>
      <c r="M269" s="36">
        <v>6.25E-2</v>
      </c>
      <c r="N269" s="34" t="s">
        <v>6</v>
      </c>
      <c r="O269" s="69"/>
      <c r="P269" s="69"/>
      <c r="Q269" s="8">
        <f t="shared" si="34"/>
        <v>1.0753448275862076</v>
      </c>
      <c r="R269" s="8">
        <f t="shared" si="32"/>
        <v>21.327672413793099</v>
      </c>
      <c r="S269" s="8">
        <f t="shared" si="33"/>
        <v>1.4935344827586203</v>
      </c>
    </row>
    <row r="270" spans="1:19" x14ac:dyDescent="0.25">
      <c r="A270" s="26" t="s">
        <v>194</v>
      </c>
      <c r="B270" s="2">
        <v>5050</v>
      </c>
      <c r="C270" s="26" t="s">
        <v>14</v>
      </c>
      <c r="D270" s="2" t="s">
        <v>15</v>
      </c>
      <c r="E270" s="2" t="s">
        <v>33</v>
      </c>
      <c r="F270" s="2" t="s">
        <v>34</v>
      </c>
      <c r="G270" s="2" t="s">
        <v>141</v>
      </c>
      <c r="H270" s="3">
        <v>80</v>
      </c>
      <c r="I270" s="4">
        <f t="shared" si="40"/>
        <v>0.69</v>
      </c>
      <c r="J270" s="9">
        <v>0.31</v>
      </c>
      <c r="K270" s="5">
        <f t="shared" si="36"/>
        <v>5.0999999999999983E-2</v>
      </c>
      <c r="L270" s="24">
        <v>0.89500000000000002</v>
      </c>
      <c r="M270" s="24">
        <v>5.3999999999999999E-2</v>
      </c>
      <c r="N270" s="6" t="s">
        <v>6</v>
      </c>
      <c r="O270" s="69"/>
      <c r="P270" s="69"/>
      <c r="Q270" s="8">
        <f t="shared" si="34"/>
        <v>0.75613043478260844</v>
      </c>
      <c r="R270" s="8">
        <f t="shared" ref="R270:R333" si="41">($O$3+$P$3)/I270*J270*L270</f>
        <v>13.269347826086957</v>
      </c>
      <c r="S270" s="8">
        <f t="shared" ref="S270:S333" si="42">($O$3+$P$3)/I270*J270*M270</f>
        <v>0.80060869565217396</v>
      </c>
    </row>
    <row r="271" spans="1:19" x14ac:dyDescent="0.25">
      <c r="A271" s="26" t="s">
        <v>195</v>
      </c>
      <c r="B271" s="2">
        <v>5050</v>
      </c>
      <c r="C271" s="26" t="s">
        <v>14</v>
      </c>
      <c r="D271" s="2" t="s">
        <v>15</v>
      </c>
      <c r="E271" s="2" t="s">
        <v>33</v>
      </c>
      <c r="F271" s="2" t="s">
        <v>36</v>
      </c>
      <c r="G271" s="2" t="s">
        <v>141</v>
      </c>
      <c r="H271" s="3">
        <v>80</v>
      </c>
      <c r="I271" s="4">
        <f t="shared" si="40"/>
        <v>0.71</v>
      </c>
      <c r="J271" s="9">
        <v>0.28999999999999998</v>
      </c>
      <c r="K271" s="5">
        <f t="shared" si="36"/>
        <v>0.66299999999999992</v>
      </c>
      <c r="L271" s="24">
        <v>0.3</v>
      </c>
      <c r="M271" s="24">
        <v>3.6999999999999998E-2</v>
      </c>
      <c r="N271" s="6" t="s">
        <v>6</v>
      </c>
      <c r="O271" s="69"/>
      <c r="P271" s="69"/>
      <c r="Q271" s="8">
        <f t="shared" si="34"/>
        <v>8.9364929577464771</v>
      </c>
      <c r="R271" s="8">
        <f t="shared" si="41"/>
        <v>4.0436619718309856</v>
      </c>
      <c r="S271" s="8">
        <f t="shared" si="42"/>
        <v>0.49871830985915494</v>
      </c>
    </row>
    <row r="272" spans="1:19" x14ac:dyDescent="0.25">
      <c r="A272" s="26" t="s">
        <v>196</v>
      </c>
      <c r="B272" s="3">
        <v>5050</v>
      </c>
      <c r="C272" s="26" t="s">
        <v>14</v>
      </c>
      <c r="D272" s="3" t="s">
        <v>15</v>
      </c>
      <c r="E272" s="3" t="s">
        <v>54</v>
      </c>
      <c r="F272" s="3" t="s">
        <v>36</v>
      </c>
      <c r="G272" s="37" t="s">
        <v>143</v>
      </c>
      <c r="H272" s="3">
        <v>80</v>
      </c>
      <c r="I272" s="32">
        <f t="shared" si="40"/>
        <v>0.745</v>
      </c>
      <c r="J272" s="33">
        <v>0.255</v>
      </c>
      <c r="K272" s="33">
        <v>5.0999999999999997E-2</v>
      </c>
      <c r="L272" s="36">
        <v>0.90249999999999997</v>
      </c>
      <c r="M272" s="36">
        <v>4.65E-2</v>
      </c>
      <c r="N272" s="34" t="s">
        <v>6</v>
      </c>
      <c r="O272" s="69"/>
      <c r="P272" s="69"/>
      <c r="Q272" s="8">
        <f t="shared" si="34"/>
        <v>0.57606040268456382</v>
      </c>
      <c r="R272" s="8">
        <f t="shared" si="41"/>
        <v>10.194010067114094</v>
      </c>
      <c r="S272" s="8">
        <f t="shared" si="42"/>
        <v>0.52523154362416113</v>
      </c>
    </row>
    <row r="273" spans="1:19" x14ac:dyDescent="0.25">
      <c r="A273" s="26" t="s">
        <v>197</v>
      </c>
      <c r="B273" s="3">
        <v>5050</v>
      </c>
      <c r="C273" s="26" t="s">
        <v>14</v>
      </c>
      <c r="D273" s="3" t="s">
        <v>15</v>
      </c>
      <c r="E273" s="3" t="s">
        <v>54</v>
      </c>
      <c r="F273" s="3" t="s">
        <v>34</v>
      </c>
      <c r="G273" s="37" t="s">
        <v>143</v>
      </c>
      <c r="H273" s="3">
        <v>80</v>
      </c>
      <c r="I273" s="32">
        <f t="shared" si="40"/>
        <v>0.82000000000000006</v>
      </c>
      <c r="J273" s="33">
        <v>0.18</v>
      </c>
      <c r="K273" s="33">
        <f t="shared" ref="K273:K336" si="43">100%-L273-M273</f>
        <v>0.93299999999999994</v>
      </c>
      <c r="L273" s="36">
        <v>0.02</v>
      </c>
      <c r="M273" s="36">
        <v>4.7E-2</v>
      </c>
      <c r="N273" s="34" t="s">
        <v>6</v>
      </c>
      <c r="O273" s="69"/>
      <c r="P273" s="69"/>
      <c r="Q273" s="8">
        <f t="shared" si="34"/>
        <v>6.7585609756097549</v>
      </c>
      <c r="R273" s="8">
        <f t="shared" si="41"/>
        <v>0.14487804878048779</v>
      </c>
      <c r="S273" s="8">
        <f t="shared" si="42"/>
        <v>0.34046341463414631</v>
      </c>
    </row>
    <row r="274" spans="1:19" x14ac:dyDescent="0.25">
      <c r="A274" s="26" t="s">
        <v>433</v>
      </c>
      <c r="B274" s="3">
        <v>5050</v>
      </c>
      <c r="C274" s="26" t="s">
        <v>14</v>
      </c>
      <c r="D274" s="3" t="s">
        <v>15</v>
      </c>
      <c r="E274" s="3" t="s">
        <v>33</v>
      </c>
      <c r="F274" s="3" t="s">
        <v>34</v>
      </c>
      <c r="G274" s="3" t="s">
        <v>261</v>
      </c>
      <c r="H274" s="3">
        <v>80</v>
      </c>
      <c r="I274" s="32">
        <f t="shared" si="40"/>
        <v>0.83</v>
      </c>
      <c r="J274" s="33">
        <v>0.17</v>
      </c>
      <c r="K274" s="33">
        <f t="shared" si="43"/>
        <v>0.94774193548387098</v>
      </c>
      <c r="L274" s="36">
        <v>0.02</v>
      </c>
      <c r="M274" s="36">
        <v>3.2258064516129031E-2</v>
      </c>
      <c r="N274" s="34" t="s">
        <v>6</v>
      </c>
      <c r="O274" s="69"/>
      <c r="P274" s="69"/>
      <c r="Q274" s="8">
        <f t="shared" si="34"/>
        <v>6.4058219976680935</v>
      </c>
      <c r="R274" s="8">
        <f t="shared" si="41"/>
        <v>0.1351807228915663</v>
      </c>
      <c r="S274" s="8">
        <f t="shared" si="42"/>
        <v>0.2180334240186553</v>
      </c>
    </row>
    <row r="275" spans="1:19" x14ac:dyDescent="0.25">
      <c r="A275" s="26" t="s">
        <v>434</v>
      </c>
      <c r="B275" s="3">
        <v>5050</v>
      </c>
      <c r="C275" s="26" t="s">
        <v>14</v>
      </c>
      <c r="D275" s="3" t="s">
        <v>15</v>
      </c>
      <c r="E275" s="3" t="s">
        <v>33</v>
      </c>
      <c r="F275" s="3" t="s">
        <v>36</v>
      </c>
      <c r="G275" s="3" t="s">
        <v>261</v>
      </c>
      <c r="H275" s="3">
        <v>80</v>
      </c>
      <c r="I275" s="32">
        <f t="shared" si="40"/>
        <v>0.79699999999999993</v>
      </c>
      <c r="J275" s="33">
        <v>0.20300000000000001</v>
      </c>
      <c r="K275" s="33">
        <f t="shared" si="43"/>
        <v>6.500000000000003E-2</v>
      </c>
      <c r="L275" s="36">
        <v>0.89649999999999996</v>
      </c>
      <c r="M275" s="36">
        <v>3.85E-2</v>
      </c>
      <c r="N275" s="34" t="s">
        <v>6</v>
      </c>
      <c r="O275" s="69"/>
      <c r="P275" s="69"/>
      <c r="Q275" s="8">
        <f t="shared" si="34"/>
        <v>0.54634253450439185</v>
      </c>
      <c r="R275" s="8">
        <f t="shared" si="41"/>
        <v>7.535324341279801</v>
      </c>
      <c r="S275" s="8">
        <f t="shared" si="42"/>
        <v>0.32360288582183194</v>
      </c>
    </row>
    <row r="276" spans="1:19" x14ac:dyDescent="0.25">
      <c r="A276" s="1" t="s">
        <v>435</v>
      </c>
      <c r="B276" s="2">
        <v>2835</v>
      </c>
      <c r="C276" s="1" t="s">
        <v>1</v>
      </c>
      <c r="D276" s="3" t="s">
        <v>82</v>
      </c>
      <c r="E276" s="2" t="s">
        <v>3</v>
      </c>
      <c r="F276" s="2" t="s">
        <v>4</v>
      </c>
      <c r="G276" s="2" t="s">
        <v>137</v>
      </c>
      <c r="H276" s="3">
        <v>70</v>
      </c>
      <c r="I276" s="4">
        <f>100%-J276</f>
        <v>0.55000000000000004</v>
      </c>
      <c r="J276" s="5">
        <v>0.45</v>
      </c>
      <c r="K276" s="5">
        <f t="shared" si="43"/>
        <v>0.9153</v>
      </c>
      <c r="L276" s="5">
        <v>0.02</v>
      </c>
      <c r="M276" s="5">
        <v>6.4699999999999994E-2</v>
      </c>
      <c r="N276" s="6" t="s">
        <v>6</v>
      </c>
      <c r="O276" s="69"/>
      <c r="P276" s="69"/>
      <c r="Q276" s="8">
        <f t="shared" si="34"/>
        <v>24.713099999999997</v>
      </c>
      <c r="R276" s="8">
        <f t="shared" si="41"/>
        <v>0.53999999999999992</v>
      </c>
      <c r="S276" s="8">
        <f t="shared" si="42"/>
        <v>1.7468999999999997</v>
      </c>
    </row>
    <row r="277" spans="1:19" x14ac:dyDescent="0.25">
      <c r="A277" s="1" t="s">
        <v>436</v>
      </c>
      <c r="B277" s="2">
        <v>2835</v>
      </c>
      <c r="C277" s="1" t="s">
        <v>1</v>
      </c>
      <c r="D277" s="3" t="s">
        <v>82</v>
      </c>
      <c r="E277" s="2" t="s">
        <v>3</v>
      </c>
      <c r="F277" s="2" t="s">
        <v>4</v>
      </c>
      <c r="G277" s="2" t="s">
        <v>139</v>
      </c>
      <c r="H277" s="3">
        <v>70</v>
      </c>
      <c r="I277" s="4">
        <f>100%-J277</f>
        <v>0.59000000000000008</v>
      </c>
      <c r="J277" s="5">
        <v>0.41</v>
      </c>
      <c r="K277" s="5">
        <f t="shared" si="43"/>
        <v>0.92449999999999999</v>
      </c>
      <c r="L277" s="5">
        <v>0.02</v>
      </c>
      <c r="M277" s="5">
        <v>5.5500000000000001E-2</v>
      </c>
      <c r="N277" s="6" t="s">
        <v>6</v>
      </c>
      <c r="O277" s="69"/>
      <c r="P277" s="69"/>
      <c r="Q277" s="8">
        <f t="shared" si="34"/>
        <v>21.200822033898298</v>
      </c>
      <c r="R277" s="8">
        <f t="shared" si="41"/>
        <v>0.45864406779661004</v>
      </c>
      <c r="S277" s="8">
        <f t="shared" si="42"/>
        <v>1.2727372881355929</v>
      </c>
    </row>
    <row r="278" spans="1:19" x14ac:dyDescent="0.25">
      <c r="A278" s="1" t="s">
        <v>437</v>
      </c>
      <c r="B278" s="2">
        <v>2835</v>
      </c>
      <c r="C278" s="1" t="s">
        <v>1</v>
      </c>
      <c r="D278" s="3" t="s">
        <v>82</v>
      </c>
      <c r="E278" s="2" t="s">
        <v>3</v>
      </c>
      <c r="F278" s="2" t="s">
        <v>4</v>
      </c>
      <c r="G278" s="2" t="s">
        <v>141</v>
      </c>
      <c r="H278" s="3">
        <v>70</v>
      </c>
      <c r="I278" s="4">
        <f t="shared" ref="I278:I280" si="44">100%-J278</f>
        <v>0.72499999999999998</v>
      </c>
      <c r="J278" s="9">
        <v>0.27500000000000002</v>
      </c>
      <c r="K278" s="5">
        <f t="shared" si="43"/>
        <v>0.93051951219512197</v>
      </c>
      <c r="L278" s="9">
        <v>0.02</v>
      </c>
      <c r="M278" s="9">
        <v>4.9480487804878001E-2</v>
      </c>
      <c r="N278" s="6" t="s">
        <v>6</v>
      </c>
      <c r="O278" s="69"/>
      <c r="P278" s="69"/>
      <c r="Q278" s="8">
        <f t="shared" ref="Q278:Q341" si="45">($O$3+$P$3)/I278*J278*K278</f>
        <v>11.64753734230446</v>
      </c>
      <c r="R278" s="8">
        <f t="shared" si="41"/>
        <v>0.25034482758620696</v>
      </c>
      <c r="S278" s="8">
        <f t="shared" si="42"/>
        <v>0.61935920941967992</v>
      </c>
    </row>
    <row r="279" spans="1:19" x14ac:dyDescent="0.25">
      <c r="A279" s="10" t="s">
        <v>438</v>
      </c>
      <c r="B279" s="2">
        <v>2835</v>
      </c>
      <c r="C279" s="1" t="s">
        <v>1</v>
      </c>
      <c r="D279" s="3" t="s">
        <v>82</v>
      </c>
      <c r="E279" s="2" t="s">
        <v>3</v>
      </c>
      <c r="F279" s="2" t="s">
        <v>4</v>
      </c>
      <c r="G279" s="2" t="s">
        <v>143</v>
      </c>
      <c r="H279" s="3">
        <v>70</v>
      </c>
      <c r="I279" s="4">
        <f t="shared" si="44"/>
        <v>0.76500000000000001</v>
      </c>
      <c r="J279" s="9">
        <v>0.23499999999999999</v>
      </c>
      <c r="K279" s="5">
        <f t="shared" si="43"/>
        <v>0.94299999999999995</v>
      </c>
      <c r="L279" s="9">
        <v>0.02</v>
      </c>
      <c r="M279" s="9">
        <v>3.6999999999999998E-2</v>
      </c>
      <c r="N279" s="6" t="s">
        <v>6</v>
      </c>
      <c r="O279" s="69"/>
      <c r="P279" s="69"/>
      <c r="Q279" s="8">
        <f t="shared" si="45"/>
        <v>9.5594313725490174</v>
      </c>
      <c r="R279" s="8">
        <f t="shared" si="41"/>
        <v>0.20274509803921564</v>
      </c>
      <c r="S279" s="8">
        <f t="shared" si="42"/>
        <v>0.37507843137254893</v>
      </c>
    </row>
    <row r="280" spans="1:19" x14ac:dyDescent="0.25">
      <c r="A280" s="1" t="s">
        <v>202</v>
      </c>
      <c r="B280" s="1">
        <v>3030</v>
      </c>
      <c r="C280" s="1" t="s">
        <v>14</v>
      </c>
      <c r="D280" s="3" t="s">
        <v>82</v>
      </c>
      <c r="E280" s="1" t="s">
        <v>3</v>
      </c>
      <c r="F280" s="1" t="s">
        <v>4</v>
      </c>
      <c r="G280" s="1" t="s">
        <v>137</v>
      </c>
      <c r="H280" s="3">
        <v>70</v>
      </c>
      <c r="I280" s="11">
        <f t="shared" si="44"/>
        <v>0.63</v>
      </c>
      <c r="J280" s="12">
        <v>0.37</v>
      </c>
      <c r="K280" s="12">
        <f t="shared" si="43"/>
        <v>0.89304347826086961</v>
      </c>
      <c r="L280" s="13">
        <v>0.02</v>
      </c>
      <c r="M280" s="13">
        <v>8.6956521739130432E-2</v>
      </c>
      <c r="N280" s="6" t="s">
        <v>6</v>
      </c>
      <c r="O280" s="69"/>
      <c r="P280" s="69"/>
      <c r="Q280" s="8">
        <f t="shared" si="45"/>
        <v>17.308033126293996</v>
      </c>
      <c r="R280" s="8">
        <f t="shared" si="41"/>
        <v>0.38761904761904759</v>
      </c>
      <c r="S280" s="8">
        <f t="shared" si="42"/>
        <v>1.6853002070393373</v>
      </c>
    </row>
    <row r="281" spans="1:19" s="55" customFormat="1" x14ac:dyDescent="0.25">
      <c r="A281" s="1" t="s">
        <v>203</v>
      </c>
      <c r="B281" s="14">
        <v>3030</v>
      </c>
      <c r="C281" s="1" t="s">
        <v>14</v>
      </c>
      <c r="D281" s="3" t="s">
        <v>82</v>
      </c>
      <c r="E281" s="14" t="s">
        <v>3</v>
      </c>
      <c r="F281" s="14" t="s">
        <v>4</v>
      </c>
      <c r="G281" s="14" t="s">
        <v>139</v>
      </c>
      <c r="H281" s="3">
        <v>70</v>
      </c>
      <c r="I281" s="15">
        <f>100%-J281</f>
        <v>0.62</v>
      </c>
      <c r="J281" s="16">
        <v>0.38</v>
      </c>
      <c r="K281" s="16">
        <f t="shared" si="43"/>
        <v>0.91500000000000004</v>
      </c>
      <c r="L281" s="17">
        <v>0.02</v>
      </c>
      <c r="M281" s="17">
        <v>6.5000000000000002E-2</v>
      </c>
      <c r="N281" s="18" t="s">
        <v>6</v>
      </c>
      <c r="O281" s="69"/>
      <c r="P281" s="69"/>
      <c r="Q281" s="8">
        <f t="shared" si="45"/>
        <v>18.506612903225808</v>
      </c>
      <c r="R281" s="8">
        <f t="shared" si="41"/>
        <v>0.40451612903225809</v>
      </c>
      <c r="S281" s="8">
        <f t="shared" si="42"/>
        <v>1.3146774193548387</v>
      </c>
    </row>
    <row r="282" spans="1:19" x14ac:dyDescent="0.25">
      <c r="A282" s="1" t="s">
        <v>204</v>
      </c>
      <c r="B282" s="19">
        <v>3030</v>
      </c>
      <c r="C282" s="1" t="s">
        <v>14</v>
      </c>
      <c r="D282" s="3" t="s">
        <v>82</v>
      </c>
      <c r="E282" s="19" t="s">
        <v>3</v>
      </c>
      <c r="F282" s="19" t="s">
        <v>4</v>
      </c>
      <c r="G282" s="19" t="s">
        <v>141</v>
      </c>
      <c r="H282" s="3">
        <v>70</v>
      </c>
      <c r="I282" s="20">
        <f t="shared" ref="I282:I290" si="46">100%-J282</f>
        <v>0.73</v>
      </c>
      <c r="J282" s="16">
        <v>0.27</v>
      </c>
      <c r="K282" s="21">
        <f t="shared" si="43"/>
        <v>0.92699999999999994</v>
      </c>
      <c r="L282" s="22">
        <v>0.02</v>
      </c>
      <c r="M282" s="22">
        <v>5.2999999999999999E-2</v>
      </c>
      <c r="N282" s="18" t="s">
        <v>6</v>
      </c>
      <c r="O282" s="69"/>
      <c r="P282" s="69"/>
      <c r="Q282" s="8">
        <f t="shared" si="45"/>
        <v>11.314479452054796</v>
      </c>
      <c r="R282" s="8">
        <f t="shared" si="41"/>
        <v>0.24410958904109592</v>
      </c>
      <c r="S282" s="8">
        <f t="shared" si="42"/>
        <v>0.64689041095890421</v>
      </c>
    </row>
    <row r="283" spans="1:19" x14ac:dyDescent="0.25">
      <c r="A283" s="1" t="s">
        <v>205</v>
      </c>
      <c r="B283" s="2">
        <v>3030</v>
      </c>
      <c r="C283" s="1" t="s">
        <v>14</v>
      </c>
      <c r="D283" s="3" t="s">
        <v>82</v>
      </c>
      <c r="E283" s="2" t="s">
        <v>3</v>
      </c>
      <c r="F283" s="2" t="s">
        <v>4</v>
      </c>
      <c r="G283" s="23" t="s">
        <v>143</v>
      </c>
      <c r="H283" s="3">
        <v>70</v>
      </c>
      <c r="I283" s="4">
        <f t="shared" si="46"/>
        <v>0.78500000000000003</v>
      </c>
      <c r="J283" s="9">
        <v>0.215</v>
      </c>
      <c r="K283" s="5">
        <f t="shared" si="43"/>
        <v>0.93652173913043479</v>
      </c>
      <c r="L283" s="24">
        <v>0.02</v>
      </c>
      <c r="M283" s="24">
        <v>4.3478260869565216E-2</v>
      </c>
      <c r="N283" s="6" t="s">
        <v>6</v>
      </c>
      <c r="O283" s="69"/>
      <c r="P283" s="69"/>
      <c r="Q283" s="8">
        <f t="shared" si="45"/>
        <v>8.4644862918859047</v>
      </c>
      <c r="R283" s="8">
        <f t="shared" si="41"/>
        <v>0.18076433121019109</v>
      </c>
      <c r="S283" s="8">
        <f t="shared" si="42"/>
        <v>0.39296593741345887</v>
      </c>
    </row>
    <row r="284" spans="1:19" x14ac:dyDescent="0.25">
      <c r="A284" s="1" t="s">
        <v>439</v>
      </c>
      <c r="B284" s="3">
        <v>3030</v>
      </c>
      <c r="C284" s="1" t="s">
        <v>14</v>
      </c>
      <c r="D284" s="3" t="s">
        <v>82</v>
      </c>
      <c r="E284" s="3" t="s">
        <v>3</v>
      </c>
      <c r="F284" s="3" t="s">
        <v>4</v>
      </c>
      <c r="G284" s="3" t="s">
        <v>261</v>
      </c>
      <c r="H284" s="3">
        <v>70</v>
      </c>
      <c r="I284" s="32">
        <f t="shared" si="46"/>
        <v>0.8</v>
      </c>
      <c r="J284" s="33">
        <v>0.2</v>
      </c>
      <c r="K284" s="33">
        <f t="shared" si="43"/>
        <v>0.95014925373134329</v>
      </c>
      <c r="L284" s="36">
        <v>0.02</v>
      </c>
      <c r="M284" s="36">
        <v>2.9850746268656716E-2</v>
      </c>
      <c r="N284" s="34" t="s">
        <v>6</v>
      </c>
      <c r="O284" s="69"/>
      <c r="P284" s="69"/>
      <c r="Q284" s="8">
        <f t="shared" si="45"/>
        <v>7.8387313432835821</v>
      </c>
      <c r="R284" s="8">
        <f t="shared" si="41"/>
        <v>0.16500000000000001</v>
      </c>
      <c r="S284" s="8">
        <f t="shared" si="42"/>
        <v>0.2462686567164179</v>
      </c>
    </row>
    <row r="285" spans="1:19" x14ac:dyDescent="0.25">
      <c r="A285" s="1" t="s">
        <v>206</v>
      </c>
      <c r="B285" s="1">
        <v>3030</v>
      </c>
      <c r="C285" s="1" t="s">
        <v>14</v>
      </c>
      <c r="D285" s="3" t="s">
        <v>82</v>
      </c>
      <c r="E285" s="1" t="s">
        <v>20</v>
      </c>
      <c r="F285" s="1" t="s">
        <v>21</v>
      </c>
      <c r="G285" s="1" t="s">
        <v>137</v>
      </c>
      <c r="H285" s="3">
        <v>70</v>
      </c>
      <c r="I285" s="11">
        <f t="shared" si="46"/>
        <v>0.51</v>
      </c>
      <c r="J285" s="12">
        <v>0.49</v>
      </c>
      <c r="K285" s="12">
        <f t="shared" si="43"/>
        <v>0.91333333333333333</v>
      </c>
      <c r="L285" s="12">
        <v>0.02</v>
      </c>
      <c r="M285" s="12">
        <v>6.6666666666666666E-2</v>
      </c>
      <c r="N285" s="6" t="s">
        <v>6</v>
      </c>
      <c r="O285" s="69"/>
      <c r="P285" s="69"/>
      <c r="Q285" s="8">
        <f t="shared" si="45"/>
        <v>28.958039215686274</v>
      </c>
      <c r="R285" s="8">
        <f t="shared" si="41"/>
        <v>0.63411764705882345</v>
      </c>
      <c r="S285" s="8">
        <f t="shared" si="42"/>
        <v>2.113725490196078</v>
      </c>
    </row>
    <row r="286" spans="1:19" x14ac:dyDescent="0.25">
      <c r="A286" s="1" t="s">
        <v>207</v>
      </c>
      <c r="B286" s="3">
        <v>3030</v>
      </c>
      <c r="C286" s="1" t="s">
        <v>14</v>
      </c>
      <c r="D286" s="3" t="s">
        <v>82</v>
      </c>
      <c r="E286" s="3" t="s">
        <v>20</v>
      </c>
      <c r="F286" s="3" t="s">
        <v>21</v>
      </c>
      <c r="G286" s="3" t="s">
        <v>139</v>
      </c>
      <c r="H286" s="3">
        <v>70</v>
      </c>
      <c r="I286" s="32">
        <f t="shared" si="46"/>
        <v>0.55000000000000004</v>
      </c>
      <c r="J286" s="33">
        <v>0.45</v>
      </c>
      <c r="K286" s="33">
        <f t="shared" si="43"/>
        <v>0.65949999999999998</v>
      </c>
      <c r="L286" s="33">
        <v>0.3</v>
      </c>
      <c r="M286" s="33">
        <v>4.0500000000000001E-2</v>
      </c>
      <c r="N286" s="34" t="s">
        <v>44</v>
      </c>
      <c r="O286" s="69"/>
      <c r="P286" s="69"/>
      <c r="Q286" s="8">
        <f t="shared" si="45"/>
        <v>17.806499999999996</v>
      </c>
      <c r="R286" s="8">
        <f t="shared" si="41"/>
        <v>8.0999999999999979</v>
      </c>
      <c r="S286" s="8">
        <f t="shared" si="42"/>
        <v>1.0934999999999999</v>
      </c>
    </row>
    <row r="287" spans="1:19" x14ac:dyDescent="0.25">
      <c r="A287" s="1" t="s">
        <v>208</v>
      </c>
      <c r="B287" s="3">
        <v>3030</v>
      </c>
      <c r="C287" s="1" t="s">
        <v>14</v>
      </c>
      <c r="D287" s="3" t="s">
        <v>82</v>
      </c>
      <c r="E287" s="3" t="s">
        <v>20</v>
      </c>
      <c r="F287" s="3" t="s">
        <v>21</v>
      </c>
      <c r="G287" s="3" t="s">
        <v>141</v>
      </c>
      <c r="H287" s="3">
        <v>70</v>
      </c>
      <c r="I287" s="32">
        <f t="shared" si="46"/>
        <v>0.64</v>
      </c>
      <c r="J287" s="35">
        <v>0.36</v>
      </c>
      <c r="K287" s="33">
        <f t="shared" si="43"/>
        <v>0.72199999999999998</v>
      </c>
      <c r="L287" s="33">
        <v>0.25</v>
      </c>
      <c r="M287" s="33">
        <v>2.8000000000000001E-2</v>
      </c>
      <c r="N287" s="34" t="s">
        <v>266</v>
      </c>
      <c r="O287" s="69"/>
      <c r="P287" s="69"/>
      <c r="Q287" s="8">
        <f t="shared" si="45"/>
        <v>13.402125</v>
      </c>
      <c r="R287" s="8">
        <f t="shared" si="41"/>
        <v>4.640625</v>
      </c>
      <c r="S287" s="8">
        <f t="shared" si="42"/>
        <v>0.51975000000000005</v>
      </c>
    </row>
    <row r="288" spans="1:19" x14ac:dyDescent="0.25">
      <c r="A288" s="10" t="s">
        <v>209</v>
      </c>
      <c r="B288" s="3">
        <v>3030</v>
      </c>
      <c r="C288" s="1" t="s">
        <v>14</v>
      </c>
      <c r="D288" s="3" t="s">
        <v>82</v>
      </c>
      <c r="E288" s="3" t="s">
        <v>20</v>
      </c>
      <c r="F288" s="3" t="s">
        <v>21</v>
      </c>
      <c r="G288" s="3" t="s">
        <v>143</v>
      </c>
      <c r="H288" s="3">
        <v>70</v>
      </c>
      <c r="I288" s="32">
        <f t="shared" si="46"/>
        <v>0.71199999999999997</v>
      </c>
      <c r="J288" s="33">
        <v>0.28799999999999998</v>
      </c>
      <c r="K288" s="33">
        <f t="shared" si="43"/>
        <v>0.68299999999999994</v>
      </c>
      <c r="L288" s="33">
        <v>0.3</v>
      </c>
      <c r="M288" s="35">
        <v>1.7000000000000001E-2</v>
      </c>
      <c r="N288" s="34" t="s">
        <v>24</v>
      </c>
      <c r="O288" s="69"/>
      <c r="P288" s="69"/>
      <c r="Q288" s="8">
        <f t="shared" si="45"/>
        <v>9.1168988764044929</v>
      </c>
      <c r="R288" s="8">
        <f t="shared" si="41"/>
        <v>4.0044943820224717</v>
      </c>
      <c r="S288" s="8">
        <f t="shared" si="42"/>
        <v>0.22692134831460675</v>
      </c>
    </row>
    <row r="289" spans="1:19" x14ac:dyDescent="0.25">
      <c r="A289" s="1" t="s">
        <v>440</v>
      </c>
      <c r="B289" s="3">
        <v>3030</v>
      </c>
      <c r="C289" s="1" t="s">
        <v>14</v>
      </c>
      <c r="D289" s="3" t="s">
        <v>82</v>
      </c>
      <c r="E289" s="3" t="s">
        <v>20</v>
      </c>
      <c r="F289" s="3" t="s">
        <v>21</v>
      </c>
      <c r="G289" s="3" t="s">
        <v>261</v>
      </c>
      <c r="H289" s="3">
        <v>70</v>
      </c>
      <c r="I289" s="32">
        <f t="shared" si="46"/>
        <v>0.8</v>
      </c>
      <c r="J289" s="33">
        <v>0.2</v>
      </c>
      <c r="K289" s="33">
        <f t="shared" si="43"/>
        <v>0.95014925373134329</v>
      </c>
      <c r="L289" s="33">
        <v>0.02</v>
      </c>
      <c r="M289" s="33">
        <v>2.9850746268656716E-2</v>
      </c>
      <c r="N289" s="34" t="s">
        <v>6</v>
      </c>
      <c r="O289" s="69"/>
      <c r="P289" s="69"/>
      <c r="Q289" s="8">
        <f t="shared" si="45"/>
        <v>7.8387313432835821</v>
      </c>
      <c r="R289" s="8">
        <f t="shared" si="41"/>
        <v>0.16500000000000001</v>
      </c>
      <c r="S289" s="8">
        <f t="shared" si="42"/>
        <v>0.2462686567164179</v>
      </c>
    </row>
    <row r="290" spans="1:19" x14ac:dyDescent="0.25">
      <c r="A290" s="26" t="s">
        <v>210</v>
      </c>
      <c r="B290" s="1">
        <v>5050</v>
      </c>
      <c r="C290" s="1" t="s">
        <v>14</v>
      </c>
      <c r="D290" s="3" t="s">
        <v>82</v>
      </c>
      <c r="E290" s="1" t="s">
        <v>27</v>
      </c>
      <c r="F290" s="1" t="s">
        <v>28</v>
      </c>
      <c r="G290" s="1" t="s">
        <v>137</v>
      </c>
      <c r="H290" s="3">
        <v>70</v>
      </c>
      <c r="I290" s="11">
        <f t="shared" si="46"/>
        <v>0.65</v>
      </c>
      <c r="J290" s="12">
        <v>0.35</v>
      </c>
      <c r="K290" s="12">
        <f t="shared" si="43"/>
        <v>0.89500000000000002</v>
      </c>
      <c r="L290" s="13">
        <v>0.02</v>
      </c>
      <c r="M290" s="13">
        <v>8.5000000000000006E-2</v>
      </c>
      <c r="N290" s="6" t="s">
        <v>6</v>
      </c>
      <c r="O290" s="69"/>
      <c r="P290" s="69"/>
      <c r="Q290" s="8">
        <f t="shared" si="45"/>
        <v>15.903461538461537</v>
      </c>
      <c r="R290" s="8">
        <f t="shared" si="41"/>
        <v>0.35538461538461535</v>
      </c>
      <c r="S290" s="8">
        <f t="shared" si="42"/>
        <v>1.5103846153846152</v>
      </c>
    </row>
    <row r="291" spans="1:19" x14ac:dyDescent="0.25">
      <c r="A291" s="26" t="s">
        <v>211</v>
      </c>
      <c r="B291" s="1">
        <v>5050</v>
      </c>
      <c r="C291" s="1" t="s">
        <v>14</v>
      </c>
      <c r="D291" s="3" t="s">
        <v>82</v>
      </c>
      <c r="E291" s="1" t="s">
        <v>27</v>
      </c>
      <c r="F291" s="1" t="s">
        <v>28</v>
      </c>
      <c r="G291" s="1" t="s">
        <v>139</v>
      </c>
      <c r="H291" s="3">
        <v>70</v>
      </c>
      <c r="I291" s="11">
        <f>100%-J291</f>
        <v>0.68599999999999994</v>
      </c>
      <c r="J291" s="12">
        <v>0.314</v>
      </c>
      <c r="K291" s="12">
        <f t="shared" si="43"/>
        <v>0.90700000000000003</v>
      </c>
      <c r="L291" s="13">
        <v>0.02</v>
      </c>
      <c r="M291" s="13">
        <v>7.2999999999999995E-2</v>
      </c>
      <c r="N291" s="6" t="s">
        <v>6</v>
      </c>
      <c r="O291" s="69"/>
      <c r="P291" s="69"/>
      <c r="Q291" s="8">
        <f t="shared" si="45"/>
        <v>13.70019533527697</v>
      </c>
      <c r="R291" s="8">
        <f t="shared" si="41"/>
        <v>0.30209912536443151</v>
      </c>
      <c r="S291" s="8">
        <f t="shared" si="42"/>
        <v>1.1026618075801751</v>
      </c>
    </row>
    <row r="292" spans="1:19" x14ac:dyDescent="0.25">
      <c r="A292" s="26" t="s">
        <v>212</v>
      </c>
      <c r="B292" s="2">
        <v>5050</v>
      </c>
      <c r="C292" s="1" t="s">
        <v>14</v>
      </c>
      <c r="D292" s="3" t="s">
        <v>82</v>
      </c>
      <c r="E292" s="2" t="s">
        <v>27</v>
      </c>
      <c r="F292" s="2" t="s">
        <v>28</v>
      </c>
      <c r="G292" s="2" t="s">
        <v>141</v>
      </c>
      <c r="H292" s="3">
        <v>70</v>
      </c>
      <c r="I292" s="4">
        <f>100%-J292</f>
        <v>0.77</v>
      </c>
      <c r="J292" s="9">
        <v>0.23</v>
      </c>
      <c r="K292" s="5">
        <f t="shared" si="43"/>
        <v>0.92399999999999993</v>
      </c>
      <c r="L292" s="24">
        <v>0.02</v>
      </c>
      <c r="M292" s="24">
        <v>5.6000000000000001E-2</v>
      </c>
      <c r="N292" s="6" t="s">
        <v>6</v>
      </c>
      <c r="O292" s="69"/>
      <c r="P292" s="69"/>
      <c r="Q292" s="8">
        <f t="shared" si="45"/>
        <v>9.1080000000000005</v>
      </c>
      <c r="R292" s="8">
        <f t="shared" si="41"/>
        <v>0.19714285714285715</v>
      </c>
      <c r="S292" s="8">
        <f t="shared" si="42"/>
        <v>0.55200000000000005</v>
      </c>
    </row>
    <row r="293" spans="1:19" x14ac:dyDescent="0.25">
      <c r="A293" s="26" t="s">
        <v>213</v>
      </c>
      <c r="B293" s="27">
        <v>5050</v>
      </c>
      <c r="C293" s="1" t="s">
        <v>14</v>
      </c>
      <c r="D293" s="3" t="s">
        <v>82</v>
      </c>
      <c r="E293" s="27" t="s">
        <v>27</v>
      </c>
      <c r="F293" s="27" t="s">
        <v>28</v>
      </c>
      <c r="G293" s="27" t="s">
        <v>143</v>
      </c>
      <c r="H293" s="3">
        <v>70</v>
      </c>
      <c r="I293" s="28">
        <f>100%-J293</f>
        <v>0.81600000000000006</v>
      </c>
      <c r="J293" s="29">
        <v>0.184</v>
      </c>
      <c r="K293" s="29">
        <f t="shared" si="43"/>
        <v>0.93499999999999994</v>
      </c>
      <c r="L293" s="30">
        <v>0.02</v>
      </c>
      <c r="M293" s="30">
        <v>4.4999999999999998E-2</v>
      </c>
      <c r="N293" s="31" t="s">
        <v>6</v>
      </c>
      <c r="O293" s="69"/>
      <c r="P293" s="69"/>
      <c r="Q293" s="8">
        <f t="shared" si="45"/>
        <v>6.9574999999999987</v>
      </c>
      <c r="R293" s="8">
        <f t="shared" si="41"/>
        <v>0.14882352941176469</v>
      </c>
      <c r="S293" s="8">
        <f t="shared" si="42"/>
        <v>0.33485294117647052</v>
      </c>
    </row>
    <row r="294" spans="1:19" x14ac:dyDescent="0.25">
      <c r="A294" s="26" t="s">
        <v>441</v>
      </c>
      <c r="B294" s="3">
        <v>5050</v>
      </c>
      <c r="C294" s="1" t="s">
        <v>14</v>
      </c>
      <c r="D294" s="3" t="s">
        <v>82</v>
      </c>
      <c r="E294" s="3" t="s">
        <v>27</v>
      </c>
      <c r="F294" s="3" t="s">
        <v>28</v>
      </c>
      <c r="G294" s="3" t="s">
        <v>261</v>
      </c>
      <c r="H294" s="3">
        <v>70</v>
      </c>
      <c r="I294" s="32">
        <f t="shared" ref="I294:I304" si="47">100%-J294</f>
        <v>0.83</v>
      </c>
      <c r="J294" s="33">
        <v>0.17</v>
      </c>
      <c r="K294" s="33">
        <f t="shared" si="43"/>
        <v>0.94774193548387098</v>
      </c>
      <c r="L294" s="36">
        <v>0.02</v>
      </c>
      <c r="M294" s="36">
        <v>3.2258064516129031E-2</v>
      </c>
      <c r="N294" s="34" t="s">
        <v>6</v>
      </c>
      <c r="O294" s="69"/>
      <c r="P294" s="69"/>
      <c r="Q294" s="8">
        <f t="shared" si="45"/>
        <v>6.4058219976680935</v>
      </c>
      <c r="R294" s="8">
        <f t="shared" si="41"/>
        <v>0.1351807228915663</v>
      </c>
      <c r="S294" s="8">
        <f t="shared" si="42"/>
        <v>0.2180334240186553</v>
      </c>
    </row>
    <row r="295" spans="1:19" x14ac:dyDescent="0.25">
      <c r="A295" s="26" t="s">
        <v>214</v>
      </c>
      <c r="B295" s="3">
        <v>5050</v>
      </c>
      <c r="C295" s="1" t="s">
        <v>14</v>
      </c>
      <c r="D295" s="3" t="s">
        <v>82</v>
      </c>
      <c r="E295" s="3" t="s">
        <v>33</v>
      </c>
      <c r="F295" s="3" t="s">
        <v>34</v>
      </c>
      <c r="G295" s="3" t="s">
        <v>137</v>
      </c>
      <c r="H295" s="3">
        <v>70</v>
      </c>
      <c r="I295" s="32">
        <f t="shared" si="47"/>
        <v>0.55000000000000004</v>
      </c>
      <c r="J295" s="33">
        <v>0.45</v>
      </c>
      <c r="K295" s="33">
        <f t="shared" si="43"/>
        <v>0.91749999999999998</v>
      </c>
      <c r="L295" s="33">
        <v>0.02</v>
      </c>
      <c r="M295" s="33">
        <v>6.25E-2</v>
      </c>
      <c r="N295" s="34" t="s">
        <v>6</v>
      </c>
      <c r="O295" s="69"/>
      <c r="P295" s="69"/>
      <c r="Q295" s="8">
        <f t="shared" si="45"/>
        <v>24.772499999999997</v>
      </c>
      <c r="R295" s="8">
        <f t="shared" si="41"/>
        <v>0.53999999999999992</v>
      </c>
      <c r="S295" s="8">
        <f t="shared" si="42"/>
        <v>1.6874999999999998</v>
      </c>
    </row>
    <row r="296" spans="1:19" x14ac:dyDescent="0.25">
      <c r="A296" s="26" t="s">
        <v>215</v>
      </c>
      <c r="B296" s="3">
        <v>5050</v>
      </c>
      <c r="C296" s="1" t="s">
        <v>14</v>
      </c>
      <c r="D296" s="3" t="s">
        <v>82</v>
      </c>
      <c r="E296" s="3" t="s">
        <v>33</v>
      </c>
      <c r="F296" s="3" t="s">
        <v>36</v>
      </c>
      <c r="G296" s="3" t="s">
        <v>137</v>
      </c>
      <c r="H296" s="3">
        <v>70</v>
      </c>
      <c r="I296" s="32">
        <f t="shared" si="47"/>
        <v>0.55000000000000004</v>
      </c>
      <c r="J296" s="33">
        <v>0.45</v>
      </c>
      <c r="K296" s="33">
        <f t="shared" si="43"/>
        <v>0.91749999999999998</v>
      </c>
      <c r="L296" s="33">
        <v>0.02</v>
      </c>
      <c r="M296" s="33">
        <v>6.25E-2</v>
      </c>
      <c r="N296" s="34" t="s">
        <v>6</v>
      </c>
      <c r="O296" s="69"/>
      <c r="P296" s="69"/>
      <c r="Q296" s="8">
        <f t="shared" si="45"/>
        <v>24.772499999999997</v>
      </c>
      <c r="R296" s="8">
        <f t="shared" si="41"/>
        <v>0.53999999999999992</v>
      </c>
      <c r="S296" s="8">
        <f t="shared" si="42"/>
        <v>1.6874999999999998</v>
      </c>
    </row>
    <row r="297" spans="1:19" x14ac:dyDescent="0.25">
      <c r="A297" s="26" t="s">
        <v>216</v>
      </c>
      <c r="B297" s="2">
        <v>5050</v>
      </c>
      <c r="C297" s="1" t="s">
        <v>14</v>
      </c>
      <c r="D297" s="3" t="s">
        <v>82</v>
      </c>
      <c r="E297" s="2" t="s">
        <v>33</v>
      </c>
      <c r="F297" s="2" t="s">
        <v>34</v>
      </c>
      <c r="G297" s="2" t="s">
        <v>139</v>
      </c>
      <c r="H297" s="3">
        <v>70</v>
      </c>
      <c r="I297" s="4">
        <f t="shared" si="47"/>
        <v>0.57000000000000006</v>
      </c>
      <c r="J297" s="5">
        <v>0.43</v>
      </c>
      <c r="K297" s="5">
        <f t="shared" si="43"/>
        <v>0.92620000000000002</v>
      </c>
      <c r="L297" s="5">
        <v>1.9999999999999997E-2</v>
      </c>
      <c r="M297" s="5">
        <v>5.3800000000000001E-2</v>
      </c>
      <c r="N297" s="6" t="s">
        <v>6</v>
      </c>
      <c r="O297" s="69"/>
      <c r="P297" s="69"/>
      <c r="Q297" s="8">
        <f t="shared" si="45"/>
        <v>23.057505263157893</v>
      </c>
      <c r="R297" s="8">
        <f t="shared" si="41"/>
        <v>0.49789473684210511</v>
      </c>
      <c r="S297" s="8">
        <f t="shared" si="42"/>
        <v>1.3393368421052629</v>
      </c>
    </row>
    <row r="298" spans="1:19" x14ac:dyDescent="0.25">
      <c r="A298" s="26" t="s">
        <v>217</v>
      </c>
      <c r="B298" s="2">
        <v>5050</v>
      </c>
      <c r="C298" s="1" t="s">
        <v>14</v>
      </c>
      <c r="D298" s="3" t="s">
        <v>82</v>
      </c>
      <c r="E298" s="2" t="s">
        <v>33</v>
      </c>
      <c r="F298" s="2" t="s">
        <v>36</v>
      </c>
      <c r="G298" s="2" t="s">
        <v>139</v>
      </c>
      <c r="H298" s="3">
        <v>70</v>
      </c>
      <c r="I298" s="4">
        <f t="shared" si="47"/>
        <v>0.56499999999999995</v>
      </c>
      <c r="J298" s="5">
        <v>0.435</v>
      </c>
      <c r="K298" s="5">
        <f t="shared" si="43"/>
        <v>0.70499999999999996</v>
      </c>
      <c r="L298" s="5">
        <v>0.25</v>
      </c>
      <c r="M298" s="5">
        <v>4.4999999999999998E-2</v>
      </c>
      <c r="N298" s="6" t="s">
        <v>266</v>
      </c>
      <c r="O298" s="69"/>
      <c r="P298" s="69"/>
      <c r="Q298" s="8">
        <f t="shared" si="45"/>
        <v>17.911991150442478</v>
      </c>
      <c r="R298" s="8">
        <f t="shared" si="41"/>
        <v>6.3517699115044257</v>
      </c>
      <c r="S298" s="8">
        <f t="shared" si="42"/>
        <v>1.1433185840707967</v>
      </c>
    </row>
    <row r="299" spans="1:19" x14ac:dyDescent="0.25">
      <c r="A299" s="26" t="s">
        <v>218</v>
      </c>
      <c r="B299" s="3">
        <v>5050</v>
      </c>
      <c r="C299" s="1" t="s">
        <v>14</v>
      </c>
      <c r="D299" s="3" t="s">
        <v>82</v>
      </c>
      <c r="E299" s="3" t="s">
        <v>33</v>
      </c>
      <c r="F299" s="3" t="s">
        <v>34</v>
      </c>
      <c r="G299" s="3" t="s">
        <v>141</v>
      </c>
      <c r="H299" s="3">
        <v>70</v>
      </c>
      <c r="I299" s="32">
        <f t="shared" si="47"/>
        <v>0.66999999999999993</v>
      </c>
      <c r="J299" s="35">
        <v>0.33</v>
      </c>
      <c r="K299" s="33">
        <f t="shared" si="43"/>
        <v>0.61799999999999999</v>
      </c>
      <c r="L299" s="35">
        <v>0.35</v>
      </c>
      <c r="M299" s="35">
        <v>3.2000000000000001E-2</v>
      </c>
      <c r="N299" s="34" t="s">
        <v>24</v>
      </c>
      <c r="O299" s="69"/>
      <c r="P299" s="69"/>
      <c r="Q299" s="8">
        <f t="shared" si="45"/>
        <v>10.044805970149257</v>
      </c>
      <c r="R299" s="8">
        <f t="shared" si="41"/>
        <v>5.6888059701492546</v>
      </c>
      <c r="S299" s="8">
        <f t="shared" si="42"/>
        <v>0.52011940298507475</v>
      </c>
    </row>
    <row r="300" spans="1:19" x14ac:dyDescent="0.25">
      <c r="A300" s="26" t="s">
        <v>219</v>
      </c>
      <c r="B300" s="3">
        <v>5050</v>
      </c>
      <c r="C300" s="1" t="s">
        <v>14</v>
      </c>
      <c r="D300" s="3" t="s">
        <v>82</v>
      </c>
      <c r="E300" s="3" t="s">
        <v>33</v>
      </c>
      <c r="F300" s="3" t="s">
        <v>36</v>
      </c>
      <c r="G300" s="3" t="s">
        <v>141</v>
      </c>
      <c r="H300" s="3">
        <v>70</v>
      </c>
      <c r="I300" s="32">
        <f t="shared" si="47"/>
        <v>0.69500000000000006</v>
      </c>
      <c r="J300" s="35">
        <v>0.30499999999999999</v>
      </c>
      <c r="K300" s="33">
        <f t="shared" si="43"/>
        <v>0.66499999999999992</v>
      </c>
      <c r="L300" s="35">
        <v>0.3</v>
      </c>
      <c r="M300" s="35">
        <v>3.5000000000000003E-2</v>
      </c>
      <c r="N300" s="34" t="s">
        <v>24</v>
      </c>
      <c r="O300" s="69"/>
      <c r="P300" s="69"/>
      <c r="Q300" s="8">
        <f t="shared" si="45"/>
        <v>9.6305395683453217</v>
      </c>
      <c r="R300" s="8">
        <f t="shared" si="41"/>
        <v>4.3446043165467616</v>
      </c>
      <c r="S300" s="8">
        <f t="shared" si="42"/>
        <v>0.50687050359712227</v>
      </c>
    </row>
    <row r="301" spans="1:19" x14ac:dyDescent="0.25">
      <c r="A301" s="26" t="s">
        <v>220</v>
      </c>
      <c r="B301" s="2">
        <v>5050</v>
      </c>
      <c r="C301" s="1" t="s">
        <v>14</v>
      </c>
      <c r="D301" s="3" t="s">
        <v>82</v>
      </c>
      <c r="E301" s="2" t="s">
        <v>33</v>
      </c>
      <c r="F301" s="2" t="s">
        <v>36</v>
      </c>
      <c r="G301" s="2" t="s">
        <v>143</v>
      </c>
      <c r="H301" s="3">
        <v>70</v>
      </c>
      <c r="I301" s="4">
        <f t="shared" si="47"/>
        <v>0.73499999999999999</v>
      </c>
      <c r="J301" s="5">
        <v>0.26500000000000001</v>
      </c>
      <c r="K301" s="5">
        <f t="shared" si="43"/>
        <v>0.77</v>
      </c>
      <c r="L301" s="9">
        <v>0.2</v>
      </c>
      <c r="M301" s="9">
        <v>0.03</v>
      </c>
      <c r="N301" s="6" t="s">
        <v>266</v>
      </c>
      <c r="O301" s="69"/>
      <c r="P301" s="69"/>
      <c r="Q301" s="8">
        <f t="shared" si="45"/>
        <v>9.1614285714285728</v>
      </c>
      <c r="R301" s="8">
        <f t="shared" si="41"/>
        <v>2.3795918367346944</v>
      </c>
      <c r="S301" s="8">
        <f t="shared" si="42"/>
        <v>0.35693877551020414</v>
      </c>
    </row>
    <row r="302" spans="1:19" x14ac:dyDescent="0.25">
      <c r="A302" s="26" t="s">
        <v>221</v>
      </c>
      <c r="B302" s="2">
        <v>5050</v>
      </c>
      <c r="C302" s="1" t="s">
        <v>14</v>
      </c>
      <c r="D302" s="3" t="s">
        <v>82</v>
      </c>
      <c r="E302" s="2" t="s">
        <v>33</v>
      </c>
      <c r="F302" s="2" t="s">
        <v>34</v>
      </c>
      <c r="G302" s="2" t="s">
        <v>143</v>
      </c>
      <c r="H302" s="3">
        <v>70</v>
      </c>
      <c r="I302" s="4">
        <f t="shared" si="47"/>
        <v>0.76500000000000001</v>
      </c>
      <c r="J302" s="5">
        <v>0.23499999999999999</v>
      </c>
      <c r="K302" s="5">
        <f t="shared" si="43"/>
        <v>0.94430000000000003</v>
      </c>
      <c r="L302" s="9">
        <v>0.02</v>
      </c>
      <c r="M302" s="9">
        <v>3.5700000000000003E-2</v>
      </c>
      <c r="N302" s="6" t="s">
        <v>6</v>
      </c>
      <c r="O302" s="69"/>
      <c r="P302" s="69"/>
      <c r="Q302" s="8">
        <f t="shared" si="45"/>
        <v>9.5726098039215675</v>
      </c>
      <c r="R302" s="8">
        <f t="shared" si="41"/>
        <v>0.20274509803921564</v>
      </c>
      <c r="S302" s="8">
        <f t="shared" si="42"/>
        <v>0.36189999999999994</v>
      </c>
    </row>
    <row r="303" spans="1:19" x14ac:dyDescent="0.25">
      <c r="A303" s="26" t="s">
        <v>442</v>
      </c>
      <c r="B303" s="3">
        <v>5050</v>
      </c>
      <c r="C303" s="1" t="s">
        <v>14</v>
      </c>
      <c r="D303" s="3" t="s">
        <v>82</v>
      </c>
      <c r="E303" s="3" t="s">
        <v>33</v>
      </c>
      <c r="F303" s="3" t="s">
        <v>34</v>
      </c>
      <c r="G303" s="3" t="s">
        <v>261</v>
      </c>
      <c r="H303" s="3">
        <v>70</v>
      </c>
      <c r="I303" s="32">
        <f t="shared" si="47"/>
        <v>0.83</v>
      </c>
      <c r="J303" s="33">
        <v>0.17</v>
      </c>
      <c r="K303" s="33">
        <f t="shared" si="43"/>
        <v>0.94774193548387098</v>
      </c>
      <c r="L303" s="33">
        <v>0.02</v>
      </c>
      <c r="M303" s="33">
        <v>3.2258064516129031E-2</v>
      </c>
      <c r="N303" s="34" t="s">
        <v>6</v>
      </c>
      <c r="O303" s="69"/>
      <c r="P303" s="69"/>
      <c r="Q303" s="8">
        <f t="shared" si="45"/>
        <v>6.4058219976680935</v>
      </c>
      <c r="R303" s="8">
        <f t="shared" si="41"/>
        <v>0.1351807228915663</v>
      </c>
      <c r="S303" s="8">
        <f t="shared" si="42"/>
        <v>0.2180334240186553</v>
      </c>
    </row>
    <row r="304" spans="1:19" x14ac:dyDescent="0.25">
      <c r="A304" s="26" t="s">
        <v>443</v>
      </c>
      <c r="B304" s="3">
        <v>5050</v>
      </c>
      <c r="C304" s="1" t="s">
        <v>14</v>
      </c>
      <c r="D304" s="3" t="s">
        <v>82</v>
      </c>
      <c r="E304" s="3" t="s">
        <v>33</v>
      </c>
      <c r="F304" s="3" t="s">
        <v>36</v>
      </c>
      <c r="G304" s="3" t="s">
        <v>261</v>
      </c>
      <c r="H304" s="3">
        <v>70</v>
      </c>
      <c r="I304" s="32">
        <f t="shared" si="47"/>
        <v>0.83</v>
      </c>
      <c r="J304" s="33">
        <v>0.17</v>
      </c>
      <c r="K304" s="33">
        <f t="shared" si="43"/>
        <v>0.94774193548387098</v>
      </c>
      <c r="L304" s="33">
        <v>0.02</v>
      </c>
      <c r="M304" s="33">
        <v>3.2258064516129031E-2</v>
      </c>
      <c r="N304" s="34" t="s">
        <v>6</v>
      </c>
      <c r="O304" s="69"/>
      <c r="P304" s="69"/>
      <c r="Q304" s="8">
        <f t="shared" si="45"/>
        <v>6.4058219976680935</v>
      </c>
      <c r="R304" s="8">
        <f t="shared" si="41"/>
        <v>0.1351807228915663</v>
      </c>
      <c r="S304" s="8">
        <f t="shared" si="42"/>
        <v>0.2180334240186553</v>
      </c>
    </row>
    <row r="305" spans="1:19" x14ac:dyDescent="0.25">
      <c r="A305" s="1" t="s">
        <v>444</v>
      </c>
      <c r="B305" s="2">
        <v>2835</v>
      </c>
      <c r="C305" s="1" t="s">
        <v>1</v>
      </c>
      <c r="D305" s="3" t="s">
        <v>82</v>
      </c>
      <c r="E305" s="2" t="s">
        <v>3</v>
      </c>
      <c r="F305" s="2" t="s">
        <v>4</v>
      </c>
      <c r="G305" s="2" t="s">
        <v>137</v>
      </c>
      <c r="H305" s="3">
        <v>80</v>
      </c>
      <c r="I305" s="4">
        <f>100%-J305</f>
        <v>0.5</v>
      </c>
      <c r="J305" s="5">
        <v>0.5</v>
      </c>
      <c r="K305" s="5">
        <f t="shared" si="43"/>
        <v>0.89549999999999996</v>
      </c>
      <c r="L305" s="5">
        <v>0.05</v>
      </c>
      <c r="M305" s="5">
        <v>5.45E-2</v>
      </c>
      <c r="N305" s="6" t="s">
        <v>266</v>
      </c>
      <c r="O305" s="69"/>
      <c r="P305" s="69"/>
      <c r="Q305" s="8">
        <f t="shared" si="45"/>
        <v>29.551499999999997</v>
      </c>
      <c r="R305" s="8">
        <f t="shared" si="41"/>
        <v>1.6500000000000001</v>
      </c>
      <c r="S305" s="8">
        <f t="shared" si="42"/>
        <v>1.7985</v>
      </c>
    </row>
    <row r="306" spans="1:19" x14ac:dyDescent="0.25">
      <c r="A306" s="1" t="s">
        <v>445</v>
      </c>
      <c r="B306" s="2">
        <v>2835</v>
      </c>
      <c r="C306" s="1" t="s">
        <v>1</v>
      </c>
      <c r="D306" s="3" t="s">
        <v>82</v>
      </c>
      <c r="E306" s="2" t="s">
        <v>3</v>
      </c>
      <c r="F306" s="2" t="s">
        <v>4</v>
      </c>
      <c r="G306" s="2" t="s">
        <v>139</v>
      </c>
      <c r="H306" s="3">
        <v>80</v>
      </c>
      <c r="I306" s="4">
        <f>100%-J306</f>
        <v>0.59000000000000008</v>
      </c>
      <c r="J306" s="5">
        <v>0.41</v>
      </c>
      <c r="K306" s="5">
        <f t="shared" si="43"/>
        <v>0.92449999999999999</v>
      </c>
      <c r="L306" s="5">
        <v>0.02</v>
      </c>
      <c r="M306" s="5">
        <v>5.5500000000000001E-2</v>
      </c>
      <c r="N306" s="6" t="s">
        <v>6</v>
      </c>
      <c r="O306" s="69"/>
      <c r="P306" s="69"/>
      <c r="Q306" s="8">
        <f t="shared" si="45"/>
        <v>21.200822033898298</v>
      </c>
      <c r="R306" s="8">
        <f t="shared" si="41"/>
        <v>0.45864406779661004</v>
      </c>
      <c r="S306" s="8">
        <f t="shared" si="42"/>
        <v>1.2727372881355929</v>
      </c>
    </row>
    <row r="307" spans="1:19" x14ac:dyDescent="0.25">
      <c r="A307" s="1" t="s">
        <v>446</v>
      </c>
      <c r="B307" s="2">
        <v>2835</v>
      </c>
      <c r="C307" s="1" t="s">
        <v>1</v>
      </c>
      <c r="D307" s="3" t="s">
        <v>82</v>
      </c>
      <c r="E307" s="2" t="s">
        <v>3</v>
      </c>
      <c r="F307" s="2" t="s">
        <v>4</v>
      </c>
      <c r="G307" s="2" t="s">
        <v>141</v>
      </c>
      <c r="H307" s="3">
        <v>80</v>
      </c>
      <c r="I307" s="4">
        <f t="shared" ref="I307:I309" si="48">100%-J307</f>
        <v>0.58499999999999996</v>
      </c>
      <c r="J307" s="9">
        <v>0.41499999999999998</v>
      </c>
      <c r="K307" s="5">
        <f t="shared" si="43"/>
        <v>0.3</v>
      </c>
      <c r="L307" s="9">
        <v>0.66400000000000003</v>
      </c>
      <c r="M307" s="9">
        <v>3.5999999999999997E-2</v>
      </c>
      <c r="N307" s="6" t="s">
        <v>24</v>
      </c>
      <c r="O307" s="69"/>
      <c r="P307" s="69"/>
      <c r="Q307" s="8">
        <f t="shared" si="45"/>
        <v>7.0230769230769239</v>
      </c>
      <c r="R307" s="8">
        <f t="shared" si="41"/>
        <v>15.544410256410259</v>
      </c>
      <c r="S307" s="8">
        <f t="shared" si="42"/>
        <v>0.84276923076923083</v>
      </c>
    </row>
    <row r="308" spans="1:19" x14ac:dyDescent="0.25">
      <c r="A308" s="10" t="s">
        <v>447</v>
      </c>
      <c r="B308" s="2">
        <v>2835</v>
      </c>
      <c r="C308" s="1" t="s">
        <v>1</v>
      </c>
      <c r="D308" s="3" t="s">
        <v>82</v>
      </c>
      <c r="E308" s="2" t="s">
        <v>3</v>
      </c>
      <c r="F308" s="2" t="s">
        <v>4</v>
      </c>
      <c r="G308" s="2" t="s">
        <v>143</v>
      </c>
      <c r="H308" s="3">
        <v>80</v>
      </c>
      <c r="I308" s="4">
        <f t="shared" si="48"/>
        <v>0.76500000000000001</v>
      </c>
      <c r="J308" s="9">
        <v>0.23499999999999999</v>
      </c>
      <c r="K308" s="5">
        <f t="shared" si="43"/>
        <v>0.94299999999999995</v>
      </c>
      <c r="L308" s="9">
        <v>0.02</v>
      </c>
      <c r="M308" s="9">
        <v>3.6999999999999998E-2</v>
      </c>
      <c r="N308" s="6" t="s">
        <v>6</v>
      </c>
      <c r="O308" s="69"/>
      <c r="P308" s="69"/>
      <c r="Q308" s="8">
        <f t="shared" si="45"/>
        <v>9.5594313725490174</v>
      </c>
      <c r="R308" s="8">
        <f t="shared" si="41"/>
        <v>0.20274509803921564</v>
      </c>
      <c r="S308" s="8">
        <f t="shared" si="42"/>
        <v>0.37507843137254893</v>
      </c>
    </row>
    <row r="309" spans="1:19" x14ac:dyDescent="0.25">
      <c r="A309" s="1" t="s">
        <v>226</v>
      </c>
      <c r="B309" s="1">
        <v>3030</v>
      </c>
      <c r="C309" s="1" t="s">
        <v>14</v>
      </c>
      <c r="D309" s="3" t="s">
        <v>82</v>
      </c>
      <c r="E309" s="1" t="s">
        <v>3</v>
      </c>
      <c r="F309" s="1" t="s">
        <v>4</v>
      </c>
      <c r="G309" s="1" t="s">
        <v>137</v>
      </c>
      <c r="H309" s="3">
        <v>80</v>
      </c>
      <c r="I309" s="11">
        <f t="shared" si="48"/>
        <v>0.63</v>
      </c>
      <c r="J309" s="12">
        <v>0.37</v>
      </c>
      <c r="K309" s="12">
        <f t="shared" si="43"/>
        <v>0.89304347826086961</v>
      </c>
      <c r="L309" s="13">
        <v>0.02</v>
      </c>
      <c r="M309" s="13">
        <v>8.6956521739130432E-2</v>
      </c>
      <c r="N309" s="6" t="s">
        <v>6</v>
      </c>
      <c r="O309" s="69"/>
      <c r="P309" s="69"/>
      <c r="Q309" s="8">
        <f t="shared" si="45"/>
        <v>17.308033126293996</v>
      </c>
      <c r="R309" s="8">
        <f t="shared" si="41"/>
        <v>0.38761904761904759</v>
      </c>
      <c r="S309" s="8">
        <f t="shared" si="42"/>
        <v>1.6853002070393373</v>
      </c>
    </row>
    <row r="310" spans="1:19" s="55" customFormat="1" x14ac:dyDescent="0.25">
      <c r="A310" s="1" t="s">
        <v>227</v>
      </c>
      <c r="B310" s="14">
        <v>3030</v>
      </c>
      <c r="C310" s="1" t="s">
        <v>14</v>
      </c>
      <c r="D310" s="3" t="s">
        <v>82</v>
      </c>
      <c r="E310" s="14" t="s">
        <v>3</v>
      </c>
      <c r="F310" s="14" t="s">
        <v>4</v>
      </c>
      <c r="G310" s="14" t="s">
        <v>139</v>
      </c>
      <c r="H310" s="3">
        <v>80</v>
      </c>
      <c r="I310" s="15">
        <f>100%-J310</f>
        <v>0.62</v>
      </c>
      <c r="J310" s="16">
        <v>0.38</v>
      </c>
      <c r="K310" s="16">
        <f t="shared" si="43"/>
        <v>0.91500000000000004</v>
      </c>
      <c r="L310" s="17">
        <v>0.02</v>
      </c>
      <c r="M310" s="17">
        <v>6.5000000000000002E-2</v>
      </c>
      <c r="N310" s="18" t="s">
        <v>6</v>
      </c>
      <c r="O310" s="69"/>
      <c r="P310" s="69"/>
      <c r="Q310" s="8">
        <f t="shared" si="45"/>
        <v>18.506612903225808</v>
      </c>
      <c r="R310" s="8">
        <f t="shared" si="41"/>
        <v>0.40451612903225809</v>
      </c>
      <c r="S310" s="8">
        <f t="shared" si="42"/>
        <v>1.3146774193548387</v>
      </c>
    </row>
    <row r="311" spans="1:19" x14ac:dyDescent="0.25">
      <c r="A311" s="1" t="s">
        <v>228</v>
      </c>
      <c r="B311" s="19">
        <v>3030</v>
      </c>
      <c r="C311" s="1" t="s">
        <v>14</v>
      </c>
      <c r="D311" s="3" t="s">
        <v>82</v>
      </c>
      <c r="E311" s="19" t="s">
        <v>3</v>
      </c>
      <c r="F311" s="19" t="s">
        <v>4</v>
      </c>
      <c r="G311" s="19" t="s">
        <v>141</v>
      </c>
      <c r="H311" s="3">
        <v>80</v>
      </c>
      <c r="I311" s="20">
        <f t="shared" ref="I311:I319" si="49">100%-J311</f>
        <v>0.73</v>
      </c>
      <c r="J311" s="16">
        <v>0.27</v>
      </c>
      <c r="K311" s="21">
        <f t="shared" si="43"/>
        <v>0.92699999999999994</v>
      </c>
      <c r="L311" s="22">
        <v>0.02</v>
      </c>
      <c r="M311" s="22">
        <v>5.2999999999999999E-2</v>
      </c>
      <c r="N311" s="18" t="s">
        <v>6</v>
      </c>
      <c r="O311" s="69"/>
      <c r="P311" s="69"/>
      <c r="Q311" s="8">
        <f t="shared" si="45"/>
        <v>11.314479452054796</v>
      </c>
      <c r="R311" s="8">
        <f t="shared" si="41"/>
        <v>0.24410958904109592</v>
      </c>
      <c r="S311" s="8">
        <f t="shared" si="42"/>
        <v>0.64689041095890421</v>
      </c>
    </row>
    <row r="312" spans="1:19" x14ac:dyDescent="0.25">
      <c r="A312" s="1" t="s">
        <v>229</v>
      </c>
      <c r="B312" s="2">
        <v>3030</v>
      </c>
      <c r="C312" s="1" t="s">
        <v>14</v>
      </c>
      <c r="D312" s="3" t="s">
        <v>82</v>
      </c>
      <c r="E312" s="2" t="s">
        <v>3</v>
      </c>
      <c r="F312" s="2" t="s">
        <v>4</v>
      </c>
      <c r="G312" s="23" t="s">
        <v>143</v>
      </c>
      <c r="H312" s="3">
        <v>80</v>
      </c>
      <c r="I312" s="4">
        <f t="shared" si="49"/>
        <v>0.78500000000000003</v>
      </c>
      <c r="J312" s="9">
        <v>0.215</v>
      </c>
      <c r="K312" s="5">
        <f t="shared" si="43"/>
        <v>0.93652173913043479</v>
      </c>
      <c r="L312" s="24">
        <v>0.02</v>
      </c>
      <c r="M312" s="24">
        <v>4.3478260869565216E-2</v>
      </c>
      <c r="N312" s="6" t="s">
        <v>6</v>
      </c>
      <c r="O312" s="69"/>
      <c r="P312" s="69"/>
      <c r="Q312" s="8">
        <f t="shared" si="45"/>
        <v>8.4644862918859047</v>
      </c>
      <c r="R312" s="8">
        <f t="shared" si="41"/>
        <v>0.18076433121019109</v>
      </c>
      <c r="S312" s="8">
        <f t="shared" si="42"/>
        <v>0.39296593741345887</v>
      </c>
    </row>
    <row r="313" spans="1:19" x14ac:dyDescent="0.25">
      <c r="A313" s="1" t="s">
        <v>448</v>
      </c>
      <c r="B313" s="3">
        <v>3030</v>
      </c>
      <c r="C313" s="1" t="s">
        <v>14</v>
      </c>
      <c r="D313" s="3" t="s">
        <v>82</v>
      </c>
      <c r="E313" s="3" t="s">
        <v>3</v>
      </c>
      <c r="F313" s="3" t="s">
        <v>4</v>
      </c>
      <c r="G313" s="3" t="s">
        <v>261</v>
      </c>
      <c r="H313" s="3">
        <v>80</v>
      </c>
      <c r="I313" s="32">
        <f t="shared" si="49"/>
        <v>0.8</v>
      </c>
      <c r="J313" s="33">
        <v>0.2</v>
      </c>
      <c r="K313" s="33">
        <f t="shared" si="43"/>
        <v>0.95014925373134329</v>
      </c>
      <c r="L313" s="36">
        <v>0.02</v>
      </c>
      <c r="M313" s="36">
        <v>2.9850746268656716E-2</v>
      </c>
      <c r="N313" s="34" t="s">
        <v>6</v>
      </c>
      <c r="O313" s="69"/>
      <c r="P313" s="69"/>
      <c r="Q313" s="8">
        <f t="shared" si="45"/>
        <v>7.8387313432835821</v>
      </c>
      <c r="R313" s="8">
        <f t="shared" si="41"/>
        <v>0.16500000000000001</v>
      </c>
      <c r="S313" s="8">
        <f t="shared" si="42"/>
        <v>0.2462686567164179</v>
      </c>
    </row>
    <row r="314" spans="1:19" x14ac:dyDescent="0.25">
      <c r="A314" s="1" t="s">
        <v>230</v>
      </c>
      <c r="B314" s="1">
        <v>3030</v>
      </c>
      <c r="C314" s="1" t="s">
        <v>14</v>
      </c>
      <c r="D314" s="3" t="s">
        <v>82</v>
      </c>
      <c r="E314" s="1" t="s">
        <v>20</v>
      </c>
      <c r="F314" s="1" t="s">
        <v>21</v>
      </c>
      <c r="G314" s="1" t="s">
        <v>137</v>
      </c>
      <c r="H314" s="3">
        <v>80</v>
      </c>
      <c r="I314" s="11">
        <f t="shared" si="49"/>
        <v>0.51</v>
      </c>
      <c r="J314" s="12">
        <v>0.49</v>
      </c>
      <c r="K314" s="12">
        <f t="shared" si="43"/>
        <v>0.91333333333333333</v>
      </c>
      <c r="L314" s="12">
        <v>0.02</v>
      </c>
      <c r="M314" s="12">
        <v>6.6666666666666666E-2</v>
      </c>
      <c r="N314" s="6" t="s">
        <v>6</v>
      </c>
      <c r="O314" s="69"/>
      <c r="P314" s="69"/>
      <c r="Q314" s="8">
        <f t="shared" si="45"/>
        <v>28.958039215686274</v>
      </c>
      <c r="R314" s="8">
        <f t="shared" si="41"/>
        <v>0.63411764705882345</v>
      </c>
      <c r="S314" s="8">
        <f t="shared" si="42"/>
        <v>2.113725490196078</v>
      </c>
    </row>
    <row r="315" spans="1:19" x14ac:dyDescent="0.25">
      <c r="A315" s="1" t="s">
        <v>231</v>
      </c>
      <c r="B315" s="3">
        <v>3030</v>
      </c>
      <c r="C315" s="1" t="s">
        <v>14</v>
      </c>
      <c r="D315" s="3" t="s">
        <v>82</v>
      </c>
      <c r="E315" s="3" t="s">
        <v>20</v>
      </c>
      <c r="F315" s="3" t="s">
        <v>21</v>
      </c>
      <c r="G315" s="3" t="s">
        <v>139</v>
      </c>
      <c r="H315" s="3">
        <v>80</v>
      </c>
      <c r="I315" s="32">
        <f t="shared" si="49"/>
        <v>0.5</v>
      </c>
      <c r="J315" s="33">
        <v>0.5</v>
      </c>
      <c r="K315" s="33">
        <f t="shared" si="43"/>
        <v>4.9999999999999982E-2</v>
      </c>
      <c r="L315" s="33">
        <v>0.89300000000000002</v>
      </c>
      <c r="M315" s="33">
        <v>5.7000000000000002E-2</v>
      </c>
      <c r="N315" s="34" t="s">
        <v>6</v>
      </c>
      <c r="O315" s="69"/>
      <c r="P315" s="69"/>
      <c r="Q315" s="8">
        <f t="shared" si="45"/>
        <v>1.6499999999999995</v>
      </c>
      <c r="R315" s="8">
        <f t="shared" si="41"/>
        <v>29.469000000000001</v>
      </c>
      <c r="S315" s="8">
        <f t="shared" si="42"/>
        <v>1.881</v>
      </c>
    </row>
    <row r="316" spans="1:19" x14ac:dyDescent="0.25">
      <c r="A316" s="1" t="s">
        <v>232</v>
      </c>
      <c r="B316" s="3">
        <v>3030</v>
      </c>
      <c r="C316" s="1" t="s">
        <v>14</v>
      </c>
      <c r="D316" s="3" t="s">
        <v>82</v>
      </c>
      <c r="E316" s="3" t="s">
        <v>20</v>
      </c>
      <c r="F316" s="3" t="s">
        <v>21</v>
      </c>
      <c r="G316" s="3" t="s">
        <v>141</v>
      </c>
      <c r="H316" s="3">
        <v>80</v>
      </c>
      <c r="I316" s="32">
        <f t="shared" si="49"/>
        <v>0.59000000000000008</v>
      </c>
      <c r="J316" s="35">
        <v>0.41</v>
      </c>
      <c r="K316" s="33">
        <f t="shared" si="43"/>
        <v>0.52600000000000002</v>
      </c>
      <c r="L316" s="33">
        <v>0.43</v>
      </c>
      <c r="M316" s="33">
        <v>4.3999999999999997E-2</v>
      </c>
      <c r="N316" s="34" t="s">
        <v>266</v>
      </c>
      <c r="O316" s="69"/>
      <c r="P316" s="69"/>
      <c r="Q316" s="8">
        <f t="shared" si="45"/>
        <v>12.062338983050845</v>
      </c>
      <c r="R316" s="8">
        <f t="shared" si="41"/>
        <v>9.8608474576271163</v>
      </c>
      <c r="S316" s="8">
        <f t="shared" si="42"/>
        <v>1.009016949152542</v>
      </c>
    </row>
    <row r="317" spans="1:19" x14ac:dyDescent="0.25">
      <c r="A317" s="10" t="s">
        <v>233</v>
      </c>
      <c r="B317" s="3">
        <v>3030</v>
      </c>
      <c r="C317" s="1" t="s">
        <v>14</v>
      </c>
      <c r="D317" s="3" t="s">
        <v>82</v>
      </c>
      <c r="E317" s="3" t="s">
        <v>20</v>
      </c>
      <c r="F317" s="3" t="s">
        <v>21</v>
      </c>
      <c r="G317" s="3" t="s">
        <v>143</v>
      </c>
      <c r="H317" s="3">
        <v>80</v>
      </c>
      <c r="I317" s="32">
        <f t="shared" si="49"/>
        <v>0.73499999999999999</v>
      </c>
      <c r="J317" s="33">
        <v>0.26500000000000001</v>
      </c>
      <c r="K317" s="33">
        <f t="shared" si="43"/>
        <v>0.94153846153846155</v>
      </c>
      <c r="L317" s="33">
        <v>0.02</v>
      </c>
      <c r="M317" s="35">
        <v>3.8461538461538464E-2</v>
      </c>
      <c r="N317" s="34" t="s">
        <v>6</v>
      </c>
      <c r="O317" s="69"/>
      <c r="P317" s="69"/>
      <c r="Q317" s="8">
        <f t="shared" si="45"/>
        <v>11.202386185243331</v>
      </c>
      <c r="R317" s="8">
        <f t="shared" si="41"/>
        <v>0.23795918367346944</v>
      </c>
      <c r="S317" s="8">
        <f t="shared" si="42"/>
        <v>0.45761381475667201</v>
      </c>
    </row>
    <row r="318" spans="1:19" x14ac:dyDescent="0.25">
      <c r="A318" s="1" t="s">
        <v>449</v>
      </c>
      <c r="B318" s="3">
        <v>3030</v>
      </c>
      <c r="C318" s="1" t="s">
        <v>14</v>
      </c>
      <c r="D318" s="3" t="s">
        <v>82</v>
      </c>
      <c r="E318" s="3" t="s">
        <v>20</v>
      </c>
      <c r="F318" s="3" t="s">
        <v>21</v>
      </c>
      <c r="G318" s="3" t="s">
        <v>261</v>
      </c>
      <c r="H318" s="3">
        <v>80</v>
      </c>
      <c r="I318" s="32">
        <f t="shared" si="49"/>
        <v>0.8</v>
      </c>
      <c r="J318" s="33">
        <v>0.2</v>
      </c>
      <c r="K318" s="33">
        <f t="shared" si="43"/>
        <v>0.95014925373134329</v>
      </c>
      <c r="L318" s="33">
        <v>0.02</v>
      </c>
      <c r="M318" s="33">
        <v>2.9850746268656716E-2</v>
      </c>
      <c r="N318" s="34" t="s">
        <v>6</v>
      </c>
      <c r="O318" s="69"/>
      <c r="P318" s="69"/>
      <c r="Q318" s="8">
        <f t="shared" si="45"/>
        <v>7.8387313432835821</v>
      </c>
      <c r="R318" s="8">
        <f t="shared" si="41"/>
        <v>0.16500000000000001</v>
      </c>
      <c r="S318" s="8">
        <f t="shared" si="42"/>
        <v>0.2462686567164179</v>
      </c>
    </row>
    <row r="319" spans="1:19" x14ac:dyDescent="0.25">
      <c r="A319" s="26" t="s">
        <v>234</v>
      </c>
      <c r="B319" s="1">
        <v>5050</v>
      </c>
      <c r="C319" s="1" t="s">
        <v>14</v>
      </c>
      <c r="D319" s="3" t="s">
        <v>82</v>
      </c>
      <c r="E319" s="1" t="s">
        <v>27</v>
      </c>
      <c r="F319" s="1" t="s">
        <v>28</v>
      </c>
      <c r="G319" s="1" t="s">
        <v>137</v>
      </c>
      <c r="H319" s="3">
        <v>80</v>
      </c>
      <c r="I319" s="11">
        <f t="shared" si="49"/>
        <v>0.65</v>
      </c>
      <c r="J319" s="12">
        <v>0.35</v>
      </c>
      <c r="K319" s="12">
        <f t="shared" si="43"/>
        <v>0.89500000000000002</v>
      </c>
      <c r="L319" s="13">
        <v>0.02</v>
      </c>
      <c r="M319" s="13">
        <v>8.5000000000000006E-2</v>
      </c>
      <c r="N319" s="6" t="s">
        <v>6</v>
      </c>
      <c r="O319" s="69"/>
      <c r="P319" s="69"/>
      <c r="Q319" s="8">
        <f t="shared" si="45"/>
        <v>15.903461538461537</v>
      </c>
      <c r="R319" s="8">
        <f t="shared" si="41"/>
        <v>0.35538461538461535</v>
      </c>
      <c r="S319" s="8">
        <f t="shared" si="42"/>
        <v>1.5103846153846152</v>
      </c>
    </row>
    <row r="320" spans="1:19" x14ac:dyDescent="0.25">
      <c r="A320" s="26" t="s">
        <v>235</v>
      </c>
      <c r="B320" s="1">
        <v>5050</v>
      </c>
      <c r="C320" s="1" t="s">
        <v>14</v>
      </c>
      <c r="D320" s="3" t="s">
        <v>82</v>
      </c>
      <c r="E320" s="1" t="s">
        <v>27</v>
      </c>
      <c r="F320" s="1" t="s">
        <v>28</v>
      </c>
      <c r="G320" s="1" t="s">
        <v>139</v>
      </c>
      <c r="H320" s="3">
        <v>80</v>
      </c>
      <c r="I320" s="11">
        <f>100%-J320</f>
        <v>0.68599999999999994</v>
      </c>
      <c r="J320" s="12">
        <v>0.314</v>
      </c>
      <c r="K320" s="12">
        <f t="shared" si="43"/>
        <v>0.90700000000000003</v>
      </c>
      <c r="L320" s="13">
        <v>0.02</v>
      </c>
      <c r="M320" s="13">
        <v>7.2999999999999995E-2</v>
      </c>
      <c r="N320" s="6" t="s">
        <v>6</v>
      </c>
      <c r="O320" s="69"/>
      <c r="P320" s="69"/>
      <c r="Q320" s="8">
        <f t="shared" si="45"/>
        <v>13.70019533527697</v>
      </c>
      <c r="R320" s="8">
        <f t="shared" si="41"/>
        <v>0.30209912536443151</v>
      </c>
      <c r="S320" s="8">
        <f t="shared" si="42"/>
        <v>1.1026618075801751</v>
      </c>
    </row>
    <row r="321" spans="1:19" x14ac:dyDescent="0.25">
      <c r="A321" s="26" t="s">
        <v>236</v>
      </c>
      <c r="B321" s="2">
        <v>5050</v>
      </c>
      <c r="C321" s="1" t="s">
        <v>14</v>
      </c>
      <c r="D321" s="3" t="s">
        <v>82</v>
      </c>
      <c r="E321" s="2" t="s">
        <v>27</v>
      </c>
      <c r="F321" s="2" t="s">
        <v>28</v>
      </c>
      <c r="G321" s="2" t="s">
        <v>141</v>
      </c>
      <c r="H321" s="3">
        <v>80</v>
      </c>
      <c r="I321" s="4">
        <f>100%-J321</f>
        <v>0.77</v>
      </c>
      <c r="J321" s="9">
        <v>0.23</v>
      </c>
      <c r="K321" s="5">
        <f t="shared" si="43"/>
        <v>0.92399999999999993</v>
      </c>
      <c r="L321" s="24">
        <v>0.02</v>
      </c>
      <c r="M321" s="24">
        <v>5.6000000000000001E-2</v>
      </c>
      <c r="N321" s="6" t="s">
        <v>6</v>
      </c>
      <c r="O321" s="69"/>
      <c r="P321" s="69"/>
      <c r="Q321" s="8">
        <f t="shared" si="45"/>
        <v>9.1080000000000005</v>
      </c>
      <c r="R321" s="8">
        <f t="shared" si="41"/>
        <v>0.19714285714285715</v>
      </c>
      <c r="S321" s="8">
        <f t="shared" si="42"/>
        <v>0.55200000000000005</v>
      </c>
    </row>
    <row r="322" spans="1:19" x14ac:dyDescent="0.25">
      <c r="A322" s="26" t="s">
        <v>237</v>
      </c>
      <c r="B322" s="27">
        <v>5050</v>
      </c>
      <c r="C322" s="1" t="s">
        <v>14</v>
      </c>
      <c r="D322" s="3" t="s">
        <v>82</v>
      </c>
      <c r="E322" s="27" t="s">
        <v>27</v>
      </c>
      <c r="F322" s="27" t="s">
        <v>28</v>
      </c>
      <c r="G322" s="27" t="s">
        <v>143</v>
      </c>
      <c r="H322" s="3">
        <v>80</v>
      </c>
      <c r="I322" s="28">
        <f>100%-J322</f>
        <v>0.72499999999999998</v>
      </c>
      <c r="J322" s="29">
        <v>0.27500000000000002</v>
      </c>
      <c r="K322" s="29">
        <f t="shared" si="43"/>
        <v>0.56030000000000002</v>
      </c>
      <c r="L322" s="30">
        <v>0.4</v>
      </c>
      <c r="M322" s="30">
        <v>3.9699999999999999E-2</v>
      </c>
      <c r="N322" s="31" t="s">
        <v>266</v>
      </c>
      <c r="O322" s="69"/>
      <c r="P322" s="69"/>
      <c r="Q322" s="8">
        <f t="shared" si="45"/>
        <v>7.0134103448275873</v>
      </c>
      <c r="R322" s="8">
        <f t="shared" si="41"/>
        <v>5.0068965517241395</v>
      </c>
      <c r="S322" s="8">
        <f t="shared" si="42"/>
        <v>0.49693448275862079</v>
      </c>
    </row>
    <row r="323" spans="1:19" x14ac:dyDescent="0.25">
      <c r="A323" s="26" t="s">
        <v>450</v>
      </c>
      <c r="B323" s="3">
        <v>5050</v>
      </c>
      <c r="C323" s="1" t="s">
        <v>14</v>
      </c>
      <c r="D323" s="3" t="s">
        <v>82</v>
      </c>
      <c r="E323" s="3" t="s">
        <v>27</v>
      </c>
      <c r="F323" s="3" t="s">
        <v>28</v>
      </c>
      <c r="G323" s="3" t="s">
        <v>261</v>
      </c>
      <c r="H323" s="3">
        <v>80</v>
      </c>
      <c r="I323" s="32">
        <f t="shared" ref="I323:I333" si="50">100%-J323</f>
        <v>0.83</v>
      </c>
      <c r="J323" s="33">
        <v>0.17</v>
      </c>
      <c r="K323" s="33">
        <f t="shared" si="43"/>
        <v>0.94774193548387098</v>
      </c>
      <c r="L323" s="36">
        <v>0.02</v>
      </c>
      <c r="M323" s="36">
        <v>3.2258064516129031E-2</v>
      </c>
      <c r="N323" s="34" t="s">
        <v>6</v>
      </c>
      <c r="O323" s="69"/>
      <c r="P323" s="69"/>
      <c r="Q323" s="8">
        <f t="shared" si="45"/>
        <v>6.4058219976680935</v>
      </c>
      <c r="R323" s="8">
        <f t="shared" si="41"/>
        <v>0.1351807228915663</v>
      </c>
      <c r="S323" s="8">
        <f t="shared" si="42"/>
        <v>0.2180334240186553</v>
      </c>
    </row>
    <row r="324" spans="1:19" x14ac:dyDescent="0.25">
      <c r="A324" s="26" t="s">
        <v>238</v>
      </c>
      <c r="B324" s="3">
        <v>5050</v>
      </c>
      <c r="C324" s="1" t="s">
        <v>14</v>
      </c>
      <c r="D324" s="3" t="s">
        <v>82</v>
      </c>
      <c r="E324" s="3" t="s">
        <v>33</v>
      </c>
      <c r="F324" s="3" t="s">
        <v>34</v>
      </c>
      <c r="G324" s="3" t="s">
        <v>137</v>
      </c>
      <c r="H324" s="3">
        <v>80</v>
      </c>
      <c r="I324" s="32">
        <f t="shared" si="50"/>
        <v>0.55000000000000004</v>
      </c>
      <c r="J324" s="33">
        <v>0.45</v>
      </c>
      <c r="K324" s="33">
        <f t="shared" si="43"/>
        <v>0.91749999999999998</v>
      </c>
      <c r="L324" s="33">
        <v>0.02</v>
      </c>
      <c r="M324" s="33">
        <v>6.25E-2</v>
      </c>
      <c r="N324" s="34" t="s">
        <v>6</v>
      </c>
      <c r="O324" s="69"/>
      <c r="P324" s="69"/>
      <c r="Q324" s="8">
        <f t="shared" si="45"/>
        <v>24.772499999999997</v>
      </c>
      <c r="R324" s="8">
        <f t="shared" si="41"/>
        <v>0.53999999999999992</v>
      </c>
      <c r="S324" s="8">
        <f t="shared" si="42"/>
        <v>1.6874999999999998</v>
      </c>
    </row>
    <row r="325" spans="1:19" x14ac:dyDescent="0.25">
      <c r="A325" s="26" t="s">
        <v>239</v>
      </c>
      <c r="B325" s="3">
        <v>5050</v>
      </c>
      <c r="C325" s="1" t="s">
        <v>14</v>
      </c>
      <c r="D325" s="3" t="s">
        <v>82</v>
      </c>
      <c r="E325" s="3" t="s">
        <v>33</v>
      </c>
      <c r="F325" s="3" t="s">
        <v>36</v>
      </c>
      <c r="G325" s="3" t="s">
        <v>137</v>
      </c>
      <c r="H325" s="3">
        <v>80</v>
      </c>
      <c r="I325" s="32">
        <f t="shared" si="50"/>
        <v>0.55000000000000004</v>
      </c>
      <c r="J325" s="33">
        <v>0.45</v>
      </c>
      <c r="K325" s="33">
        <f t="shared" si="43"/>
        <v>0.91749999999999998</v>
      </c>
      <c r="L325" s="33">
        <v>0.02</v>
      </c>
      <c r="M325" s="33">
        <v>6.25E-2</v>
      </c>
      <c r="N325" s="34" t="s">
        <v>6</v>
      </c>
      <c r="O325" s="69"/>
      <c r="P325" s="69"/>
      <c r="Q325" s="8">
        <f t="shared" si="45"/>
        <v>24.772499999999997</v>
      </c>
      <c r="R325" s="8">
        <f t="shared" si="41"/>
        <v>0.53999999999999992</v>
      </c>
      <c r="S325" s="8">
        <f t="shared" si="42"/>
        <v>1.6874999999999998</v>
      </c>
    </row>
    <row r="326" spans="1:19" x14ac:dyDescent="0.25">
      <c r="A326" s="26" t="s">
        <v>240</v>
      </c>
      <c r="B326" s="2">
        <v>5050</v>
      </c>
      <c r="C326" s="1" t="s">
        <v>14</v>
      </c>
      <c r="D326" s="3" t="s">
        <v>82</v>
      </c>
      <c r="E326" s="2" t="s">
        <v>33</v>
      </c>
      <c r="F326" s="2" t="s">
        <v>34</v>
      </c>
      <c r="G326" s="2" t="s">
        <v>139</v>
      </c>
      <c r="H326" s="3">
        <v>80</v>
      </c>
      <c r="I326" s="4">
        <f t="shared" si="50"/>
        <v>0.57000000000000006</v>
      </c>
      <c r="J326" s="5">
        <v>0.43</v>
      </c>
      <c r="K326" s="5">
        <f t="shared" si="43"/>
        <v>0.92620000000000002</v>
      </c>
      <c r="L326" s="5">
        <v>1.9999999999999997E-2</v>
      </c>
      <c r="M326" s="5">
        <v>5.3800000000000001E-2</v>
      </c>
      <c r="N326" s="6" t="s">
        <v>6</v>
      </c>
      <c r="O326" s="69"/>
      <c r="P326" s="69"/>
      <c r="Q326" s="8">
        <f t="shared" si="45"/>
        <v>23.057505263157893</v>
      </c>
      <c r="R326" s="8">
        <f t="shared" si="41"/>
        <v>0.49789473684210511</v>
      </c>
      <c r="S326" s="8">
        <f t="shared" si="42"/>
        <v>1.3393368421052629</v>
      </c>
    </row>
    <row r="327" spans="1:19" x14ac:dyDescent="0.25">
      <c r="A327" s="26" t="s">
        <v>241</v>
      </c>
      <c r="B327" s="2">
        <v>5050</v>
      </c>
      <c r="C327" s="1" t="s">
        <v>14</v>
      </c>
      <c r="D327" s="3" t="s">
        <v>82</v>
      </c>
      <c r="E327" s="2" t="s">
        <v>33</v>
      </c>
      <c r="F327" s="2" t="s">
        <v>36</v>
      </c>
      <c r="G327" s="2" t="s">
        <v>139</v>
      </c>
      <c r="H327" s="3">
        <v>80</v>
      </c>
      <c r="I327" s="4">
        <f t="shared" si="50"/>
        <v>0.57000000000000006</v>
      </c>
      <c r="J327" s="5">
        <v>0.43</v>
      </c>
      <c r="K327" s="5">
        <f t="shared" si="43"/>
        <v>0.92620000000000002</v>
      </c>
      <c r="L327" s="5">
        <v>1.9999999999999997E-2</v>
      </c>
      <c r="M327" s="5">
        <v>5.3800000000000001E-2</v>
      </c>
      <c r="N327" s="6" t="s">
        <v>6</v>
      </c>
      <c r="O327" s="69"/>
      <c r="P327" s="69"/>
      <c r="Q327" s="8">
        <f t="shared" si="45"/>
        <v>23.057505263157893</v>
      </c>
      <c r="R327" s="8">
        <f t="shared" si="41"/>
        <v>0.49789473684210511</v>
      </c>
      <c r="S327" s="8">
        <f t="shared" si="42"/>
        <v>1.3393368421052629</v>
      </c>
    </row>
    <row r="328" spans="1:19" x14ac:dyDescent="0.25">
      <c r="A328" s="26" t="s">
        <v>242</v>
      </c>
      <c r="B328" s="3">
        <v>5050</v>
      </c>
      <c r="C328" s="1" t="s">
        <v>14</v>
      </c>
      <c r="D328" s="3" t="s">
        <v>82</v>
      </c>
      <c r="E328" s="3" t="s">
        <v>33</v>
      </c>
      <c r="F328" s="3" t="s">
        <v>34</v>
      </c>
      <c r="G328" s="3" t="s">
        <v>141</v>
      </c>
      <c r="H328" s="3">
        <v>80</v>
      </c>
      <c r="I328" s="32">
        <f t="shared" si="50"/>
        <v>0.7</v>
      </c>
      <c r="J328" s="35">
        <v>0.3</v>
      </c>
      <c r="K328" s="33">
        <f t="shared" si="43"/>
        <v>0.93555555555555558</v>
      </c>
      <c r="L328" s="35">
        <v>0.02</v>
      </c>
      <c r="M328" s="35">
        <v>4.4444444444444446E-2</v>
      </c>
      <c r="N328" s="34" t="s">
        <v>6</v>
      </c>
      <c r="O328" s="69"/>
      <c r="P328" s="69"/>
      <c r="Q328" s="8">
        <f t="shared" si="45"/>
        <v>13.231428571428573</v>
      </c>
      <c r="R328" s="8">
        <f t="shared" si="41"/>
        <v>0.28285714285714286</v>
      </c>
      <c r="S328" s="8">
        <f t="shared" si="42"/>
        <v>0.62857142857142867</v>
      </c>
    </row>
    <row r="329" spans="1:19" x14ac:dyDescent="0.25">
      <c r="A329" s="26" t="s">
        <v>243</v>
      </c>
      <c r="B329" s="3">
        <v>5050</v>
      </c>
      <c r="C329" s="1" t="s">
        <v>14</v>
      </c>
      <c r="D329" s="3" t="s">
        <v>82</v>
      </c>
      <c r="E329" s="3" t="s">
        <v>33</v>
      </c>
      <c r="F329" s="3" t="s">
        <v>36</v>
      </c>
      <c r="G329" s="3" t="s">
        <v>141</v>
      </c>
      <c r="H329" s="3">
        <v>80</v>
      </c>
      <c r="I329" s="32">
        <f t="shared" si="50"/>
        <v>0.65999999999999992</v>
      </c>
      <c r="J329" s="35">
        <v>0.34</v>
      </c>
      <c r="K329" s="33">
        <f t="shared" si="43"/>
        <v>0.89799999999999991</v>
      </c>
      <c r="L329" s="35">
        <v>0.05</v>
      </c>
      <c r="M329" s="35">
        <v>5.1999999999999998E-2</v>
      </c>
      <c r="N329" s="34" t="s">
        <v>24</v>
      </c>
      <c r="O329" s="69"/>
      <c r="P329" s="69"/>
      <c r="Q329" s="8">
        <f t="shared" si="45"/>
        <v>15.266000000000002</v>
      </c>
      <c r="R329" s="8">
        <f t="shared" si="41"/>
        <v>0.8500000000000002</v>
      </c>
      <c r="S329" s="8">
        <f t="shared" si="42"/>
        <v>0.88400000000000012</v>
      </c>
    </row>
    <row r="330" spans="1:19" x14ac:dyDescent="0.25">
      <c r="A330" s="26" t="s">
        <v>244</v>
      </c>
      <c r="B330" s="2">
        <v>5050</v>
      </c>
      <c r="C330" s="1" t="s">
        <v>14</v>
      </c>
      <c r="D330" s="3" t="s">
        <v>82</v>
      </c>
      <c r="E330" s="2" t="s">
        <v>33</v>
      </c>
      <c r="F330" s="2" t="s">
        <v>36</v>
      </c>
      <c r="G330" s="2" t="s">
        <v>143</v>
      </c>
      <c r="H330" s="3">
        <v>80</v>
      </c>
      <c r="I330" s="4">
        <f t="shared" si="50"/>
        <v>0.71</v>
      </c>
      <c r="J330" s="5">
        <v>0.28999999999999998</v>
      </c>
      <c r="K330" s="5">
        <f t="shared" si="43"/>
        <v>0.56699999999999995</v>
      </c>
      <c r="L330" s="9">
        <v>0.4</v>
      </c>
      <c r="M330" s="9">
        <v>3.3000000000000002E-2</v>
      </c>
      <c r="N330" s="6" t="s">
        <v>44</v>
      </c>
      <c r="O330" s="69"/>
      <c r="P330" s="69"/>
      <c r="Q330" s="8">
        <f t="shared" si="45"/>
        <v>7.6425211267605624</v>
      </c>
      <c r="R330" s="8">
        <f t="shared" si="41"/>
        <v>5.3915492957746487</v>
      </c>
      <c r="S330" s="8">
        <f t="shared" si="42"/>
        <v>0.44480281690140849</v>
      </c>
    </row>
    <row r="331" spans="1:19" x14ac:dyDescent="0.25">
      <c r="A331" s="26" t="s">
        <v>245</v>
      </c>
      <c r="B331" s="2">
        <v>5050</v>
      </c>
      <c r="C331" s="1" t="s">
        <v>14</v>
      </c>
      <c r="D331" s="3" t="s">
        <v>82</v>
      </c>
      <c r="E331" s="2" t="s">
        <v>33</v>
      </c>
      <c r="F331" s="2" t="s">
        <v>34</v>
      </c>
      <c r="G331" s="2" t="s">
        <v>143</v>
      </c>
      <c r="H331" s="3">
        <v>80</v>
      </c>
      <c r="I331" s="4">
        <f t="shared" si="50"/>
        <v>0.76500000000000001</v>
      </c>
      <c r="J331" s="5">
        <v>0.23499999999999999</v>
      </c>
      <c r="K331" s="5">
        <f t="shared" si="43"/>
        <v>0.94430000000000003</v>
      </c>
      <c r="L331" s="9">
        <v>0.02</v>
      </c>
      <c r="M331" s="9">
        <v>3.5700000000000003E-2</v>
      </c>
      <c r="N331" s="6" t="s">
        <v>6</v>
      </c>
      <c r="O331" s="69"/>
      <c r="P331" s="69"/>
      <c r="Q331" s="8">
        <f t="shared" si="45"/>
        <v>9.5726098039215675</v>
      </c>
      <c r="R331" s="8">
        <f t="shared" si="41"/>
        <v>0.20274509803921564</v>
      </c>
      <c r="S331" s="8">
        <f t="shared" si="42"/>
        <v>0.36189999999999994</v>
      </c>
    </row>
    <row r="332" spans="1:19" x14ac:dyDescent="0.25">
      <c r="A332" s="26" t="s">
        <v>451</v>
      </c>
      <c r="B332" s="3">
        <v>5050</v>
      </c>
      <c r="C332" s="1" t="s">
        <v>14</v>
      </c>
      <c r="D332" s="3" t="s">
        <v>82</v>
      </c>
      <c r="E332" s="3" t="s">
        <v>33</v>
      </c>
      <c r="F332" s="3" t="s">
        <v>34</v>
      </c>
      <c r="G332" s="3" t="s">
        <v>261</v>
      </c>
      <c r="H332" s="3">
        <v>80</v>
      </c>
      <c r="I332" s="32">
        <f t="shared" si="50"/>
        <v>0.83</v>
      </c>
      <c r="J332" s="33">
        <v>0.17</v>
      </c>
      <c r="K332" s="33">
        <f t="shared" si="43"/>
        <v>0.94774193548387098</v>
      </c>
      <c r="L332" s="33">
        <v>0.02</v>
      </c>
      <c r="M332" s="33">
        <v>3.2258064516129031E-2</v>
      </c>
      <c r="N332" s="34" t="s">
        <v>6</v>
      </c>
      <c r="O332" s="69"/>
      <c r="P332" s="69"/>
      <c r="Q332" s="8">
        <f t="shared" si="45"/>
        <v>6.4058219976680935</v>
      </c>
      <c r="R332" s="8">
        <f t="shared" si="41"/>
        <v>0.1351807228915663</v>
      </c>
      <c r="S332" s="8">
        <f t="shared" si="42"/>
        <v>0.2180334240186553</v>
      </c>
    </row>
    <row r="333" spans="1:19" x14ac:dyDescent="0.25">
      <c r="A333" s="7" t="s">
        <v>452</v>
      </c>
      <c r="B333" s="56">
        <v>5050</v>
      </c>
      <c r="C333" s="1" t="s">
        <v>14</v>
      </c>
      <c r="D333" s="56" t="s">
        <v>82</v>
      </c>
      <c r="E333" s="56" t="s">
        <v>33</v>
      </c>
      <c r="F333" s="56" t="s">
        <v>36</v>
      </c>
      <c r="G333" s="56" t="s">
        <v>261</v>
      </c>
      <c r="H333" s="56">
        <v>80</v>
      </c>
      <c r="I333" s="57">
        <f t="shared" si="50"/>
        <v>0.83</v>
      </c>
      <c r="J333" s="58">
        <v>0.17</v>
      </c>
      <c r="K333" s="58">
        <f t="shared" si="43"/>
        <v>0.94774193548387098</v>
      </c>
      <c r="L333" s="58">
        <v>0.02</v>
      </c>
      <c r="M333" s="58">
        <v>3.2258064516129031E-2</v>
      </c>
      <c r="N333" s="59" t="s">
        <v>6</v>
      </c>
      <c r="O333" s="69"/>
      <c r="P333" s="69"/>
      <c r="Q333" s="8">
        <f t="shared" si="45"/>
        <v>6.4058219976680935</v>
      </c>
      <c r="R333" s="8">
        <f t="shared" si="41"/>
        <v>0.1351807228915663</v>
      </c>
      <c r="S333" s="8">
        <f t="shared" si="42"/>
        <v>0.2180334240186553</v>
      </c>
    </row>
    <row r="334" spans="1:19" x14ac:dyDescent="0.25">
      <c r="A334" s="1" t="s">
        <v>335</v>
      </c>
      <c r="B334" s="2">
        <v>2835</v>
      </c>
      <c r="C334" s="1" t="s">
        <v>1</v>
      </c>
      <c r="D334" s="2" t="s">
        <v>306</v>
      </c>
      <c r="E334" s="2" t="s">
        <v>3</v>
      </c>
      <c r="F334" s="2" t="s">
        <v>4</v>
      </c>
      <c r="G334" s="2" t="s">
        <v>137</v>
      </c>
      <c r="H334" s="3">
        <v>77</v>
      </c>
      <c r="I334" s="4">
        <f>100%-J334</f>
        <v>0.55000000000000004</v>
      </c>
      <c r="J334" s="5">
        <v>0.45</v>
      </c>
      <c r="K334" s="5">
        <f t="shared" si="43"/>
        <v>0.9153</v>
      </c>
      <c r="L334" s="5">
        <v>0.02</v>
      </c>
      <c r="M334" s="5">
        <v>6.4699999999999994E-2</v>
      </c>
      <c r="N334" s="6" t="s">
        <v>6</v>
      </c>
      <c r="O334" s="69"/>
      <c r="P334" s="69"/>
      <c r="Q334" s="8">
        <f t="shared" si="45"/>
        <v>24.713099999999997</v>
      </c>
      <c r="R334" s="8">
        <f t="shared" ref="R334:R397" si="51">($O$3+$P$3)/I334*J334*L334</f>
        <v>0.53999999999999992</v>
      </c>
      <c r="S334" s="8">
        <f t="shared" ref="S334:S397" si="52">($O$3+$P$3)/I334*J334*M334</f>
        <v>1.7468999999999997</v>
      </c>
    </row>
    <row r="335" spans="1:19" x14ac:dyDescent="0.25">
      <c r="A335" s="1" t="s">
        <v>453</v>
      </c>
      <c r="B335" s="2">
        <v>2835</v>
      </c>
      <c r="C335" s="1" t="s">
        <v>1</v>
      </c>
      <c r="D335" s="2" t="s">
        <v>306</v>
      </c>
      <c r="E335" s="2" t="s">
        <v>3</v>
      </c>
      <c r="F335" s="2" t="s">
        <v>4</v>
      </c>
      <c r="G335" s="2" t="s">
        <v>139</v>
      </c>
      <c r="H335" s="3">
        <v>77</v>
      </c>
      <c r="I335" s="4">
        <f>100%-J335</f>
        <v>0.59000000000000008</v>
      </c>
      <c r="J335" s="5">
        <v>0.41</v>
      </c>
      <c r="K335" s="5">
        <f t="shared" si="43"/>
        <v>0.92449999999999999</v>
      </c>
      <c r="L335" s="5">
        <v>0.02</v>
      </c>
      <c r="M335" s="5">
        <v>5.5500000000000001E-2</v>
      </c>
      <c r="N335" s="6" t="s">
        <v>6</v>
      </c>
      <c r="O335" s="69"/>
      <c r="P335" s="69"/>
      <c r="Q335" s="8">
        <f t="shared" si="45"/>
        <v>21.200822033898298</v>
      </c>
      <c r="R335" s="8">
        <f t="shared" si="51"/>
        <v>0.45864406779661004</v>
      </c>
      <c r="S335" s="8">
        <f t="shared" si="52"/>
        <v>1.2727372881355929</v>
      </c>
    </row>
    <row r="336" spans="1:19" x14ac:dyDescent="0.25">
      <c r="A336" s="1" t="s">
        <v>454</v>
      </c>
      <c r="B336" s="2">
        <v>2835</v>
      </c>
      <c r="C336" s="1" t="s">
        <v>1</v>
      </c>
      <c r="D336" s="2" t="s">
        <v>306</v>
      </c>
      <c r="E336" s="2" t="s">
        <v>3</v>
      </c>
      <c r="F336" s="2" t="s">
        <v>4</v>
      </c>
      <c r="G336" s="2" t="s">
        <v>141</v>
      </c>
      <c r="H336" s="3">
        <v>77</v>
      </c>
      <c r="I336" s="4">
        <f t="shared" ref="I336:I339" si="53">100%-J336</f>
        <v>0.72499999999999998</v>
      </c>
      <c r="J336" s="9">
        <v>0.27500000000000002</v>
      </c>
      <c r="K336" s="5">
        <f t="shared" si="43"/>
        <v>0.93051951219512197</v>
      </c>
      <c r="L336" s="9">
        <v>0.02</v>
      </c>
      <c r="M336" s="9">
        <v>4.9480487804878001E-2</v>
      </c>
      <c r="N336" s="6" t="s">
        <v>6</v>
      </c>
      <c r="O336" s="69"/>
      <c r="P336" s="69"/>
      <c r="Q336" s="8">
        <f t="shared" si="45"/>
        <v>11.64753734230446</v>
      </c>
      <c r="R336" s="8">
        <f t="shared" si="51"/>
        <v>0.25034482758620696</v>
      </c>
      <c r="S336" s="8">
        <f t="shared" si="52"/>
        <v>0.61935920941967992</v>
      </c>
    </row>
    <row r="337" spans="1:19" x14ac:dyDescent="0.25">
      <c r="A337" s="10" t="s">
        <v>455</v>
      </c>
      <c r="B337" s="2">
        <v>2835</v>
      </c>
      <c r="C337" s="1" t="s">
        <v>1</v>
      </c>
      <c r="D337" s="2" t="s">
        <v>306</v>
      </c>
      <c r="E337" s="2" t="s">
        <v>3</v>
      </c>
      <c r="F337" s="2" t="s">
        <v>4</v>
      </c>
      <c r="G337" s="2" t="s">
        <v>143</v>
      </c>
      <c r="H337" s="3">
        <v>77</v>
      </c>
      <c r="I337" s="4">
        <f t="shared" si="53"/>
        <v>0.76500000000000001</v>
      </c>
      <c r="J337" s="9">
        <v>0.23499999999999999</v>
      </c>
      <c r="K337" s="5">
        <f t="shared" ref="K337:K400" si="54">100%-L337-M337</f>
        <v>0.94299999999999995</v>
      </c>
      <c r="L337" s="9">
        <v>0.02</v>
      </c>
      <c r="M337" s="9">
        <v>3.6999999999999998E-2</v>
      </c>
      <c r="N337" s="6" t="s">
        <v>6</v>
      </c>
      <c r="O337" s="69"/>
      <c r="P337" s="69"/>
      <c r="Q337" s="8">
        <f t="shared" si="45"/>
        <v>9.5594313725490174</v>
      </c>
      <c r="R337" s="8">
        <f t="shared" si="51"/>
        <v>0.20274509803921564</v>
      </c>
      <c r="S337" s="8">
        <f t="shared" si="52"/>
        <v>0.37507843137254893</v>
      </c>
    </row>
    <row r="338" spans="1:19" x14ac:dyDescent="0.25">
      <c r="A338" s="1" t="s">
        <v>456</v>
      </c>
      <c r="B338" s="3">
        <v>2835</v>
      </c>
      <c r="C338" s="1" t="s">
        <v>1</v>
      </c>
      <c r="D338" s="3" t="s">
        <v>306</v>
      </c>
      <c r="E338" s="3" t="s">
        <v>3</v>
      </c>
      <c r="F338" s="3" t="s">
        <v>4</v>
      </c>
      <c r="G338" s="3" t="s">
        <v>261</v>
      </c>
      <c r="H338" s="3">
        <v>77</v>
      </c>
      <c r="I338" s="32">
        <f t="shared" si="53"/>
        <v>0.83499999999999996</v>
      </c>
      <c r="J338" s="33">
        <v>0.16500000000000001</v>
      </c>
      <c r="K338" s="33">
        <f t="shared" si="54"/>
        <v>0.94428571428571428</v>
      </c>
      <c r="L338" s="33">
        <v>0.02</v>
      </c>
      <c r="M338" s="33">
        <v>3.5714285714285712E-2</v>
      </c>
      <c r="N338" s="34" t="s">
        <v>6</v>
      </c>
      <c r="O338" s="69"/>
      <c r="P338" s="69"/>
      <c r="Q338" s="8">
        <f t="shared" si="45"/>
        <v>6.1576475620188207</v>
      </c>
      <c r="R338" s="8">
        <f t="shared" si="51"/>
        <v>0.13041916167664674</v>
      </c>
      <c r="S338" s="8">
        <f t="shared" si="52"/>
        <v>0.23289136013686917</v>
      </c>
    </row>
    <row r="339" spans="1:19" x14ac:dyDescent="0.25">
      <c r="A339" s="1" t="s">
        <v>340</v>
      </c>
      <c r="B339" s="1">
        <v>3030</v>
      </c>
      <c r="C339" s="1" t="s">
        <v>14</v>
      </c>
      <c r="D339" s="1" t="s">
        <v>15</v>
      </c>
      <c r="E339" s="1" t="s">
        <v>3</v>
      </c>
      <c r="F339" s="1" t="s">
        <v>4</v>
      </c>
      <c r="G339" s="1" t="s">
        <v>137</v>
      </c>
      <c r="H339" s="3">
        <v>77</v>
      </c>
      <c r="I339" s="11">
        <f t="shared" si="53"/>
        <v>0.63</v>
      </c>
      <c r="J339" s="12">
        <v>0.37</v>
      </c>
      <c r="K339" s="12">
        <f t="shared" si="54"/>
        <v>0.89304347826086961</v>
      </c>
      <c r="L339" s="13">
        <v>0.02</v>
      </c>
      <c r="M339" s="13">
        <v>8.6956521739130432E-2</v>
      </c>
      <c r="N339" s="6" t="s">
        <v>6</v>
      </c>
      <c r="O339" s="69"/>
      <c r="P339" s="69"/>
      <c r="Q339" s="8">
        <f t="shared" si="45"/>
        <v>17.308033126293996</v>
      </c>
      <c r="R339" s="8">
        <f t="shared" si="51"/>
        <v>0.38761904761904759</v>
      </c>
      <c r="S339" s="8">
        <f t="shared" si="52"/>
        <v>1.6853002070393373</v>
      </c>
    </row>
    <row r="340" spans="1:19" s="55" customFormat="1" x14ac:dyDescent="0.25">
      <c r="A340" s="1" t="s">
        <v>457</v>
      </c>
      <c r="B340" s="14">
        <v>3030</v>
      </c>
      <c r="C340" s="1" t="s">
        <v>14</v>
      </c>
      <c r="D340" s="14" t="s">
        <v>15</v>
      </c>
      <c r="E340" s="14" t="s">
        <v>3</v>
      </c>
      <c r="F340" s="14" t="s">
        <v>4</v>
      </c>
      <c r="G340" s="14" t="s">
        <v>139</v>
      </c>
      <c r="H340" s="3">
        <v>77</v>
      </c>
      <c r="I340" s="15">
        <f>100%-J340</f>
        <v>0.62</v>
      </c>
      <c r="J340" s="16">
        <v>0.38</v>
      </c>
      <c r="K340" s="16">
        <f t="shared" si="54"/>
        <v>0.91500000000000004</v>
      </c>
      <c r="L340" s="17">
        <v>0.02</v>
      </c>
      <c r="M340" s="17">
        <v>6.5000000000000002E-2</v>
      </c>
      <c r="N340" s="18" t="s">
        <v>6</v>
      </c>
      <c r="O340" s="69"/>
      <c r="P340" s="69"/>
      <c r="Q340" s="8">
        <f t="shared" si="45"/>
        <v>18.506612903225808</v>
      </c>
      <c r="R340" s="8">
        <f t="shared" si="51"/>
        <v>0.40451612903225809</v>
      </c>
      <c r="S340" s="8">
        <f t="shared" si="52"/>
        <v>1.3146774193548387</v>
      </c>
    </row>
    <row r="341" spans="1:19" x14ac:dyDescent="0.25">
      <c r="A341" s="1" t="s">
        <v>458</v>
      </c>
      <c r="B341" s="19">
        <v>3030</v>
      </c>
      <c r="C341" s="1" t="s">
        <v>14</v>
      </c>
      <c r="D341" s="19" t="s">
        <v>15</v>
      </c>
      <c r="E341" s="19" t="s">
        <v>3</v>
      </c>
      <c r="F341" s="19" t="s">
        <v>4</v>
      </c>
      <c r="G341" s="19" t="s">
        <v>141</v>
      </c>
      <c r="H341" s="3">
        <v>77</v>
      </c>
      <c r="I341" s="20">
        <f t="shared" ref="I341:I349" si="55">100%-J341</f>
        <v>0.73</v>
      </c>
      <c r="J341" s="16">
        <v>0.27</v>
      </c>
      <c r="K341" s="21">
        <f t="shared" si="54"/>
        <v>0.92699999999999994</v>
      </c>
      <c r="L341" s="22">
        <v>0.02</v>
      </c>
      <c r="M341" s="22">
        <v>5.2999999999999999E-2</v>
      </c>
      <c r="N341" s="18" t="s">
        <v>6</v>
      </c>
      <c r="O341" s="69"/>
      <c r="P341" s="69"/>
      <c r="Q341" s="8">
        <f t="shared" si="45"/>
        <v>11.314479452054796</v>
      </c>
      <c r="R341" s="8">
        <f t="shared" si="51"/>
        <v>0.24410958904109592</v>
      </c>
      <c r="S341" s="8">
        <f t="shared" si="52"/>
        <v>0.64689041095890421</v>
      </c>
    </row>
    <row r="342" spans="1:19" x14ac:dyDescent="0.25">
      <c r="A342" s="1" t="s">
        <v>459</v>
      </c>
      <c r="B342" s="2">
        <v>3030</v>
      </c>
      <c r="C342" s="1" t="s">
        <v>14</v>
      </c>
      <c r="D342" s="2" t="s">
        <v>15</v>
      </c>
      <c r="E342" s="2" t="s">
        <v>3</v>
      </c>
      <c r="F342" s="2" t="s">
        <v>4</v>
      </c>
      <c r="G342" s="23" t="s">
        <v>143</v>
      </c>
      <c r="H342" s="3">
        <v>77</v>
      </c>
      <c r="I342" s="4">
        <f t="shared" si="55"/>
        <v>0.78500000000000003</v>
      </c>
      <c r="J342" s="9">
        <v>0.215</v>
      </c>
      <c r="K342" s="5">
        <f t="shared" si="54"/>
        <v>0.93652173913043479</v>
      </c>
      <c r="L342" s="24">
        <v>0.02</v>
      </c>
      <c r="M342" s="24">
        <v>4.3478260869565216E-2</v>
      </c>
      <c r="N342" s="6" t="s">
        <v>6</v>
      </c>
      <c r="O342" s="69"/>
      <c r="P342" s="69"/>
      <c r="Q342" s="8">
        <f t="shared" ref="Q342:Q405" si="56">($O$3+$P$3)/I342*J342*K342</f>
        <v>8.4644862918859047</v>
      </c>
      <c r="R342" s="8">
        <f t="shared" si="51"/>
        <v>0.18076433121019109</v>
      </c>
      <c r="S342" s="8">
        <f t="shared" si="52"/>
        <v>0.39296593741345887</v>
      </c>
    </row>
    <row r="343" spans="1:19" x14ac:dyDescent="0.25">
      <c r="A343" s="1" t="s">
        <v>460</v>
      </c>
      <c r="B343" s="3">
        <v>3030</v>
      </c>
      <c r="C343" s="1" t="s">
        <v>14</v>
      </c>
      <c r="D343" s="3" t="s">
        <v>15</v>
      </c>
      <c r="E343" s="3" t="s">
        <v>3</v>
      </c>
      <c r="F343" s="3" t="s">
        <v>4</v>
      </c>
      <c r="G343" s="3" t="s">
        <v>261</v>
      </c>
      <c r="H343" s="3">
        <v>77</v>
      </c>
      <c r="I343" s="32">
        <f t="shared" si="55"/>
        <v>0.8</v>
      </c>
      <c r="J343" s="33">
        <v>0.2</v>
      </c>
      <c r="K343" s="33">
        <f t="shared" si="54"/>
        <v>0.95014925373134329</v>
      </c>
      <c r="L343" s="36">
        <v>0.02</v>
      </c>
      <c r="M343" s="36">
        <v>2.9850746268656716E-2</v>
      </c>
      <c r="N343" s="34" t="s">
        <v>6</v>
      </c>
      <c r="O343" s="69"/>
      <c r="P343" s="69"/>
      <c r="Q343" s="8">
        <f t="shared" si="56"/>
        <v>7.8387313432835821</v>
      </c>
      <c r="R343" s="8">
        <f t="shared" si="51"/>
        <v>0.16500000000000001</v>
      </c>
      <c r="S343" s="8">
        <f t="shared" si="52"/>
        <v>0.2462686567164179</v>
      </c>
    </row>
    <row r="344" spans="1:19" x14ac:dyDescent="0.25">
      <c r="A344" s="1" t="s">
        <v>345</v>
      </c>
      <c r="B344" s="19">
        <v>3030</v>
      </c>
      <c r="C344" s="1" t="s">
        <v>14</v>
      </c>
      <c r="D344" s="19" t="s">
        <v>15</v>
      </c>
      <c r="E344" s="19" t="s">
        <v>20</v>
      </c>
      <c r="F344" s="19" t="s">
        <v>21</v>
      </c>
      <c r="G344" s="19" t="s">
        <v>137</v>
      </c>
      <c r="H344" s="3">
        <v>77</v>
      </c>
      <c r="I344" s="20">
        <f t="shared" si="55"/>
        <v>0.62</v>
      </c>
      <c r="J344" s="21">
        <v>0.38</v>
      </c>
      <c r="K344" s="21">
        <f t="shared" si="54"/>
        <v>0.89</v>
      </c>
      <c r="L344" s="25">
        <v>1.9999999999999997E-2</v>
      </c>
      <c r="M344" s="25">
        <v>0.09</v>
      </c>
      <c r="N344" s="18" t="s">
        <v>6</v>
      </c>
      <c r="O344" s="69"/>
      <c r="P344" s="69"/>
      <c r="Q344" s="8">
        <f t="shared" si="56"/>
        <v>18.000967741935483</v>
      </c>
      <c r="R344" s="8">
        <f t="shared" si="51"/>
        <v>0.40451612903225803</v>
      </c>
      <c r="S344" s="8">
        <f t="shared" si="52"/>
        <v>1.8203225806451613</v>
      </c>
    </row>
    <row r="345" spans="1:19" x14ac:dyDescent="0.25">
      <c r="A345" s="1" t="s">
        <v>461</v>
      </c>
      <c r="B345" s="2">
        <v>3030</v>
      </c>
      <c r="C345" s="1" t="s">
        <v>14</v>
      </c>
      <c r="D345" s="2" t="s">
        <v>15</v>
      </c>
      <c r="E345" s="2" t="s">
        <v>20</v>
      </c>
      <c r="F345" s="2" t="s">
        <v>21</v>
      </c>
      <c r="G345" s="2" t="s">
        <v>139</v>
      </c>
      <c r="H345" s="3">
        <v>77</v>
      </c>
      <c r="I345" s="4">
        <f t="shared" si="55"/>
        <v>0.65500000000000003</v>
      </c>
      <c r="J345" s="5">
        <v>0.34499999999999997</v>
      </c>
      <c r="K345" s="5">
        <f t="shared" si="54"/>
        <v>0.92999999999999994</v>
      </c>
      <c r="L345" s="5">
        <v>5.0000000000000001E-3</v>
      </c>
      <c r="M345" s="5">
        <v>6.5000000000000002E-2</v>
      </c>
      <c r="N345" s="6" t="s">
        <v>24</v>
      </c>
      <c r="O345" s="69"/>
      <c r="P345" s="69"/>
      <c r="Q345" s="8">
        <f t="shared" si="56"/>
        <v>16.164961832061067</v>
      </c>
      <c r="R345" s="8">
        <f t="shared" si="51"/>
        <v>8.6908396946564881E-2</v>
      </c>
      <c r="S345" s="8">
        <f t="shared" si="52"/>
        <v>1.1298091603053435</v>
      </c>
    </row>
    <row r="346" spans="1:19" x14ac:dyDescent="0.25">
      <c r="A346" s="1" t="s">
        <v>462</v>
      </c>
      <c r="B346" s="19">
        <v>3030</v>
      </c>
      <c r="C346" s="1" t="s">
        <v>14</v>
      </c>
      <c r="D346" s="19" t="s">
        <v>15</v>
      </c>
      <c r="E346" s="19" t="s">
        <v>20</v>
      </c>
      <c r="F346" s="19" t="s">
        <v>21</v>
      </c>
      <c r="G346" s="19" t="s">
        <v>141</v>
      </c>
      <c r="H346" s="3">
        <v>77</v>
      </c>
      <c r="I346" s="20">
        <f t="shared" si="55"/>
        <v>0.76</v>
      </c>
      <c r="J346" s="16">
        <v>0.24</v>
      </c>
      <c r="K346" s="21">
        <f t="shared" si="54"/>
        <v>0.94399999999999995</v>
      </c>
      <c r="L346" s="22">
        <v>0.02</v>
      </c>
      <c r="M346" s="22">
        <v>3.5999999999999997E-2</v>
      </c>
      <c r="N346" s="18" t="s">
        <v>6</v>
      </c>
      <c r="O346" s="69"/>
      <c r="P346" s="69"/>
      <c r="Q346" s="8">
        <f t="shared" si="56"/>
        <v>9.8374736842105257</v>
      </c>
      <c r="R346" s="8">
        <f t="shared" si="51"/>
        <v>0.20842105263157895</v>
      </c>
      <c r="S346" s="8">
        <f t="shared" si="52"/>
        <v>0.37515789473684208</v>
      </c>
    </row>
    <row r="347" spans="1:19" x14ac:dyDescent="0.25">
      <c r="A347" s="1" t="s">
        <v>463</v>
      </c>
      <c r="B347" s="19">
        <v>3030</v>
      </c>
      <c r="C347" s="1" t="s">
        <v>14</v>
      </c>
      <c r="D347" s="19" t="s">
        <v>15</v>
      </c>
      <c r="E347" s="19" t="s">
        <v>20</v>
      </c>
      <c r="F347" s="19" t="s">
        <v>21</v>
      </c>
      <c r="G347" s="19" t="s">
        <v>143</v>
      </c>
      <c r="H347" s="3">
        <v>77</v>
      </c>
      <c r="I347" s="20">
        <f t="shared" si="55"/>
        <v>0.79500000000000004</v>
      </c>
      <c r="J347" s="21">
        <v>0.20499999999999999</v>
      </c>
      <c r="K347" s="21">
        <f t="shared" si="54"/>
        <v>0.92949999999999999</v>
      </c>
      <c r="L347" s="21">
        <v>0.02</v>
      </c>
      <c r="M347" s="21">
        <v>5.0500000000000003E-2</v>
      </c>
      <c r="N347" s="18" t="s">
        <v>6</v>
      </c>
      <c r="O347" s="69"/>
      <c r="P347" s="69"/>
      <c r="Q347" s="8">
        <f t="shared" si="56"/>
        <v>7.9095188679245263</v>
      </c>
      <c r="R347" s="8">
        <f t="shared" si="51"/>
        <v>0.17018867924528297</v>
      </c>
      <c r="S347" s="8">
        <f t="shared" si="52"/>
        <v>0.42972641509433956</v>
      </c>
    </row>
    <row r="348" spans="1:19" x14ac:dyDescent="0.25">
      <c r="A348" s="1" t="s">
        <v>464</v>
      </c>
      <c r="B348" s="3">
        <v>3030</v>
      </c>
      <c r="C348" s="1" t="s">
        <v>14</v>
      </c>
      <c r="D348" s="3" t="s">
        <v>15</v>
      </c>
      <c r="E348" s="3" t="s">
        <v>20</v>
      </c>
      <c r="F348" s="3" t="s">
        <v>21</v>
      </c>
      <c r="G348" s="3" t="s">
        <v>261</v>
      </c>
      <c r="H348" s="3">
        <v>77</v>
      </c>
      <c r="I348" s="32">
        <f t="shared" si="55"/>
        <v>0.8</v>
      </c>
      <c r="J348" s="33">
        <v>0.2</v>
      </c>
      <c r="K348" s="33">
        <f t="shared" si="54"/>
        <v>0.95014925373134329</v>
      </c>
      <c r="L348" s="33">
        <v>0.02</v>
      </c>
      <c r="M348" s="33">
        <v>2.9850746268656716E-2</v>
      </c>
      <c r="N348" s="34" t="s">
        <v>6</v>
      </c>
      <c r="O348" s="69"/>
      <c r="P348" s="69"/>
      <c r="Q348" s="8">
        <f t="shared" si="56"/>
        <v>7.8387313432835821</v>
      </c>
      <c r="R348" s="8">
        <f t="shared" si="51"/>
        <v>0.16500000000000001</v>
      </c>
      <c r="S348" s="8">
        <f t="shared" si="52"/>
        <v>0.2462686567164179</v>
      </c>
    </row>
    <row r="349" spans="1:19" x14ac:dyDescent="0.25">
      <c r="A349" s="26" t="s">
        <v>350</v>
      </c>
      <c r="B349" s="1">
        <v>5050</v>
      </c>
      <c r="C349" s="1" t="s">
        <v>14</v>
      </c>
      <c r="D349" s="1" t="s">
        <v>15</v>
      </c>
      <c r="E349" s="1" t="s">
        <v>27</v>
      </c>
      <c r="F349" s="1" t="s">
        <v>28</v>
      </c>
      <c r="G349" s="1" t="s">
        <v>137</v>
      </c>
      <c r="H349" s="3">
        <v>77</v>
      </c>
      <c r="I349" s="11">
        <f t="shared" si="55"/>
        <v>0.65</v>
      </c>
      <c r="J349" s="12">
        <v>0.35</v>
      </c>
      <c r="K349" s="12">
        <f t="shared" si="54"/>
        <v>0.89500000000000002</v>
      </c>
      <c r="L349" s="13">
        <v>0.02</v>
      </c>
      <c r="M349" s="13">
        <v>8.5000000000000006E-2</v>
      </c>
      <c r="N349" s="6" t="s">
        <v>6</v>
      </c>
      <c r="O349" s="69"/>
      <c r="P349" s="69"/>
      <c r="Q349" s="8">
        <f t="shared" si="56"/>
        <v>15.903461538461537</v>
      </c>
      <c r="R349" s="8">
        <f t="shared" si="51"/>
        <v>0.35538461538461535</v>
      </c>
      <c r="S349" s="8">
        <f t="shared" si="52"/>
        <v>1.5103846153846152</v>
      </c>
    </row>
    <row r="350" spans="1:19" x14ac:dyDescent="0.25">
      <c r="A350" s="26" t="s">
        <v>465</v>
      </c>
      <c r="B350" s="1">
        <v>5050</v>
      </c>
      <c r="C350" s="1" t="s">
        <v>14</v>
      </c>
      <c r="D350" s="1" t="s">
        <v>15</v>
      </c>
      <c r="E350" s="1" t="s">
        <v>27</v>
      </c>
      <c r="F350" s="1" t="s">
        <v>28</v>
      </c>
      <c r="G350" s="1" t="s">
        <v>139</v>
      </c>
      <c r="H350" s="3">
        <v>77</v>
      </c>
      <c r="I350" s="11">
        <f>100%-J350</f>
        <v>0.68599999999999994</v>
      </c>
      <c r="J350" s="12">
        <v>0.314</v>
      </c>
      <c r="K350" s="12">
        <f t="shared" si="54"/>
        <v>0.90700000000000003</v>
      </c>
      <c r="L350" s="13">
        <v>0.02</v>
      </c>
      <c r="M350" s="13">
        <v>7.2999999999999995E-2</v>
      </c>
      <c r="N350" s="6" t="s">
        <v>6</v>
      </c>
      <c r="O350" s="69"/>
      <c r="P350" s="69"/>
      <c r="Q350" s="8">
        <f t="shared" si="56"/>
        <v>13.70019533527697</v>
      </c>
      <c r="R350" s="8">
        <f t="shared" si="51"/>
        <v>0.30209912536443151</v>
      </c>
      <c r="S350" s="8">
        <f t="shared" si="52"/>
        <v>1.1026618075801751</v>
      </c>
    </row>
    <row r="351" spans="1:19" x14ac:dyDescent="0.25">
      <c r="A351" s="26" t="s">
        <v>466</v>
      </c>
      <c r="B351" s="2">
        <v>5050</v>
      </c>
      <c r="C351" s="1" t="s">
        <v>14</v>
      </c>
      <c r="D351" s="2" t="s">
        <v>15</v>
      </c>
      <c r="E351" s="2" t="s">
        <v>27</v>
      </c>
      <c r="F351" s="2" t="s">
        <v>28</v>
      </c>
      <c r="G351" s="2" t="s">
        <v>141</v>
      </c>
      <c r="H351" s="3">
        <v>77</v>
      </c>
      <c r="I351" s="4">
        <f>100%-J351</f>
        <v>0.71</v>
      </c>
      <c r="J351" s="9">
        <v>0.28999999999999998</v>
      </c>
      <c r="K351" s="5">
        <f t="shared" si="54"/>
        <v>0.71299999999999997</v>
      </c>
      <c r="L351" s="24">
        <v>0.25</v>
      </c>
      <c r="M351" s="24">
        <v>3.6999999999999998E-2</v>
      </c>
      <c r="N351" s="6" t="s">
        <v>6</v>
      </c>
      <c r="O351" s="69"/>
      <c r="P351" s="69"/>
      <c r="Q351" s="8">
        <f t="shared" si="56"/>
        <v>9.6104366197183104</v>
      </c>
      <c r="R351" s="8">
        <f t="shared" si="51"/>
        <v>3.369718309859155</v>
      </c>
      <c r="S351" s="8">
        <f t="shared" si="52"/>
        <v>0.49871830985915494</v>
      </c>
    </row>
    <row r="352" spans="1:19" x14ac:dyDescent="0.25">
      <c r="A352" s="26" t="s">
        <v>467</v>
      </c>
      <c r="B352" s="27">
        <v>5050</v>
      </c>
      <c r="C352" s="1" t="s">
        <v>14</v>
      </c>
      <c r="D352" s="27" t="s">
        <v>15</v>
      </c>
      <c r="E352" s="27" t="s">
        <v>27</v>
      </c>
      <c r="F352" s="27" t="s">
        <v>28</v>
      </c>
      <c r="G352" s="27" t="s">
        <v>143</v>
      </c>
      <c r="H352" s="3">
        <v>77</v>
      </c>
      <c r="I352" s="28">
        <f>100%-J352</f>
        <v>0.81600000000000006</v>
      </c>
      <c r="J352" s="29">
        <v>0.184</v>
      </c>
      <c r="K352" s="29">
        <f t="shared" si="54"/>
        <v>0.93499999999999994</v>
      </c>
      <c r="L352" s="30">
        <v>0.02</v>
      </c>
      <c r="M352" s="30">
        <v>4.4999999999999998E-2</v>
      </c>
      <c r="N352" s="31" t="s">
        <v>6</v>
      </c>
      <c r="O352" s="69"/>
      <c r="P352" s="69"/>
      <c r="Q352" s="8">
        <f t="shared" si="56"/>
        <v>6.9574999999999987</v>
      </c>
      <c r="R352" s="8">
        <f t="shared" si="51"/>
        <v>0.14882352941176469</v>
      </c>
      <c r="S352" s="8">
        <f t="shared" si="52"/>
        <v>0.33485294117647052</v>
      </c>
    </row>
    <row r="353" spans="1:19" x14ac:dyDescent="0.25">
      <c r="A353" s="26" t="s">
        <v>468</v>
      </c>
      <c r="B353" s="3">
        <v>5050</v>
      </c>
      <c r="C353" s="1" t="s">
        <v>14</v>
      </c>
      <c r="D353" s="3" t="s">
        <v>15</v>
      </c>
      <c r="E353" s="3" t="s">
        <v>27</v>
      </c>
      <c r="F353" s="3" t="s">
        <v>28</v>
      </c>
      <c r="G353" s="3" t="s">
        <v>261</v>
      </c>
      <c r="H353" s="3">
        <v>77</v>
      </c>
      <c r="I353" s="32">
        <f t="shared" ref="I353:I396" si="57">100%-J353</f>
        <v>0.83</v>
      </c>
      <c r="J353" s="33">
        <v>0.17</v>
      </c>
      <c r="K353" s="33">
        <f t="shared" si="54"/>
        <v>0.94774193548387098</v>
      </c>
      <c r="L353" s="36">
        <v>0.02</v>
      </c>
      <c r="M353" s="36">
        <v>3.2258064516129031E-2</v>
      </c>
      <c r="N353" s="34" t="s">
        <v>6</v>
      </c>
      <c r="O353" s="69"/>
      <c r="P353" s="69"/>
      <c r="Q353" s="8">
        <f t="shared" si="56"/>
        <v>6.4058219976680935</v>
      </c>
      <c r="R353" s="8">
        <f t="shared" si="51"/>
        <v>0.1351807228915663</v>
      </c>
      <c r="S353" s="8">
        <f t="shared" si="52"/>
        <v>0.2180334240186553</v>
      </c>
    </row>
    <row r="354" spans="1:19" x14ac:dyDescent="0.25">
      <c r="A354" s="26" t="s">
        <v>355</v>
      </c>
      <c r="B354" s="3">
        <v>5050</v>
      </c>
      <c r="C354" s="1" t="s">
        <v>14</v>
      </c>
      <c r="D354" s="3" t="s">
        <v>306</v>
      </c>
      <c r="E354" s="3" t="s">
        <v>33</v>
      </c>
      <c r="F354" s="3" t="s">
        <v>34</v>
      </c>
      <c r="G354" s="3" t="s">
        <v>137</v>
      </c>
      <c r="H354" s="3">
        <v>77</v>
      </c>
      <c r="I354" s="32">
        <f t="shared" si="57"/>
        <v>0.55000000000000004</v>
      </c>
      <c r="J354" s="33">
        <v>0.45</v>
      </c>
      <c r="K354" s="33">
        <f t="shared" si="54"/>
        <v>0.91749999999999998</v>
      </c>
      <c r="L354" s="33">
        <v>0.02</v>
      </c>
      <c r="M354" s="33">
        <v>6.25E-2</v>
      </c>
      <c r="N354" s="34" t="s">
        <v>6</v>
      </c>
      <c r="O354" s="69"/>
      <c r="P354" s="69"/>
      <c r="Q354" s="8">
        <f t="shared" si="56"/>
        <v>24.772499999999997</v>
      </c>
      <c r="R354" s="8">
        <f t="shared" si="51"/>
        <v>0.53999999999999992</v>
      </c>
      <c r="S354" s="8">
        <f t="shared" si="52"/>
        <v>1.6874999999999998</v>
      </c>
    </row>
    <row r="355" spans="1:19" x14ac:dyDescent="0.25">
      <c r="A355" s="26" t="s">
        <v>356</v>
      </c>
      <c r="B355" s="3">
        <v>5050</v>
      </c>
      <c r="C355" s="1" t="s">
        <v>14</v>
      </c>
      <c r="D355" s="3" t="s">
        <v>306</v>
      </c>
      <c r="E355" s="3" t="s">
        <v>33</v>
      </c>
      <c r="F355" s="3" t="s">
        <v>36</v>
      </c>
      <c r="G355" s="3" t="s">
        <v>137</v>
      </c>
      <c r="H355" s="3">
        <v>77</v>
      </c>
      <c r="I355" s="32">
        <f t="shared" si="57"/>
        <v>0.55000000000000004</v>
      </c>
      <c r="J355" s="33">
        <v>0.45</v>
      </c>
      <c r="K355" s="33">
        <f t="shared" si="54"/>
        <v>0.91749999999999998</v>
      </c>
      <c r="L355" s="33">
        <v>0.02</v>
      </c>
      <c r="M355" s="33">
        <v>6.25E-2</v>
      </c>
      <c r="N355" s="34" t="s">
        <v>6</v>
      </c>
      <c r="O355" s="69"/>
      <c r="P355" s="69"/>
      <c r="Q355" s="8">
        <f t="shared" si="56"/>
        <v>24.772499999999997</v>
      </c>
      <c r="R355" s="8">
        <f t="shared" si="51"/>
        <v>0.53999999999999992</v>
      </c>
      <c r="S355" s="8">
        <f t="shared" si="52"/>
        <v>1.6874999999999998</v>
      </c>
    </row>
    <row r="356" spans="1:19" x14ac:dyDescent="0.25">
      <c r="A356" s="26" t="s">
        <v>469</v>
      </c>
      <c r="B356" s="2">
        <v>5050</v>
      </c>
      <c r="C356" s="1" t="s">
        <v>14</v>
      </c>
      <c r="D356" s="2" t="s">
        <v>306</v>
      </c>
      <c r="E356" s="2" t="s">
        <v>33</v>
      </c>
      <c r="F356" s="2" t="s">
        <v>34</v>
      </c>
      <c r="G356" s="2" t="s">
        <v>139</v>
      </c>
      <c r="H356" s="3">
        <v>77</v>
      </c>
      <c r="I356" s="4">
        <f t="shared" si="57"/>
        <v>0.57000000000000006</v>
      </c>
      <c r="J356" s="5">
        <v>0.43</v>
      </c>
      <c r="K356" s="5">
        <f t="shared" si="54"/>
        <v>0.92620000000000002</v>
      </c>
      <c r="L356" s="5">
        <v>1.9999999999999997E-2</v>
      </c>
      <c r="M356" s="5">
        <v>5.3800000000000001E-2</v>
      </c>
      <c r="N356" s="6" t="s">
        <v>6</v>
      </c>
      <c r="O356" s="69"/>
      <c r="P356" s="69"/>
      <c r="Q356" s="8">
        <f t="shared" si="56"/>
        <v>23.057505263157893</v>
      </c>
      <c r="R356" s="8">
        <f t="shared" si="51"/>
        <v>0.49789473684210511</v>
      </c>
      <c r="S356" s="8">
        <f t="shared" si="52"/>
        <v>1.3393368421052629</v>
      </c>
    </row>
    <row r="357" spans="1:19" x14ac:dyDescent="0.25">
      <c r="A357" s="26" t="s">
        <v>470</v>
      </c>
      <c r="B357" s="2">
        <v>5050</v>
      </c>
      <c r="C357" s="1" t="s">
        <v>14</v>
      </c>
      <c r="D357" s="2" t="s">
        <v>306</v>
      </c>
      <c r="E357" s="2" t="s">
        <v>33</v>
      </c>
      <c r="F357" s="2" t="s">
        <v>36</v>
      </c>
      <c r="G357" s="2" t="s">
        <v>139</v>
      </c>
      <c r="H357" s="3">
        <v>77</v>
      </c>
      <c r="I357" s="4">
        <f t="shared" si="57"/>
        <v>0.57000000000000006</v>
      </c>
      <c r="J357" s="5">
        <v>0.43</v>
      </c>
      <c r="K357" s="5">
        <f t="shared" si="54"/>
        <v>0.92620000000000002</v>
      </c>
      <c r="L357" s="5">
        <v>1.9999999999999997E-2</v>
      </c>
      <c r="M357" s="5">
        <v>5.3800000000000001E-2</v>
      </c>
      <c r="N357" s="6" t="s">
        <v>6</v>
      </c>
      <c r="O357" s="69"/>
      <c r="P357" s="69"/>
      <c r="Q357" s="8">
        <f t="shared" si="56"/>
        <v>23.057505263157893</v>
      </c>
      <c r="R357" s="8">
        <f t="shared" si="51"/>
        <v>0.49789473684210511</v>
      </c>
      <c r="S357" s="8">
        <f t="shared" si="52"/>
        <v>1.3393368421052629</v>
      </c>
    </row>
    <row r="358" spans="1:19" x14ac:dyDescent="0.25">
      <c r="A358" s="26" t="s">
        <v>471</v>
      </c>
      <c r="B358" s="3">
        <v>5050</v>
      </c>
      <c r="C358" s="1" t="s">
        <v>14</v>
      </c>
      <c r="D358" s="3" t="s">
        <v>306</v>
      </c>
      <c r="E358" s="3" t="s">
        <v>33</v>
      </c>
      <c r="F358" s="3" t="s">
        <v>34</v>
      </c>
      <c r="G358" s="3" t="s">
        <v>141</v>
      </c>
      <c r="H358" s="3">
        <v>77</v>
      </c>
      <c r="I358" s="32">
        <f t="shared" si="57"/>
        <v>0.7</v>
      </c>
      <c r="J358" s="35">
        <v>0.3</v>
      </c>
      <c r="K358" s="33">
        <f t="shared" si="54"/>
        <v>0.93555555555555558</v>
      </c>
      <c r="L358" s="35">
        <v>0.02</v>
      </c>
      <c r="M358" s="35">
        <v>4.4444444444444446E-2</v>
      </c>
      <c r="N358" s="34" t="s">
        <v>6</v>
      </c>
      <c r="O358" s="69"/>
      <c r="P358" s="69"/>
      <c r="Q358" s="8">
        <f t="shared" si="56"/>
        <v>13.231428571428573</v>
      </c>
      <c r="R358" s="8">
        <f t="shared" si="51"/>
        <v>0.28285714285714286</v>
      </c>
      <c r="S358" s="8">
        <f t="shared" si="52"/>
        <v>0.62857142857142867</v>
      </c>
    </row>
    <row r="359" spans="1:19" x14ac:dyDescent="0.25">
      <c r="A359" s="26" t="s">
        <v>472</v>
      </c>
      <c r="B359" s="3">
        <v>5050</v>
      </c>
      <c r="C359" s="1" t="s">
        <v>14</v>
      </c>
      <c r="D359" s="3" t="s">
        <v>306</v>
      </c>
      <c r="E359" s="3" t="s">
        <v>33</v>
      </c>
      <c r="F359" s="3" t="s">
        <v>36</v>
      </c>
      <c r="G359" s="3" t="s">
        <v>141</v>
      </c>
      <c r="H359" s="3">
        <v>77</v>
      </c>
      <c r="I359" s="32">
        <f t="shared" si="57"/>
        <v>0.71</v>
      </c>
      <c r="J359" s="35">
        <v>0.28999999999999998</v>
      </c>
      <c r="K359" s="33">
        <f t="shared" si="54"/>
        <v>0.71199999999999997</v>
      </c>
      <c r="L359" s="35">
        <v>0.25</v>
      </c>
      <c r="M359" s="35">
        <v>3.7999999999999999E-2</v>
      </c>
      <c r="N359" s="34" t="s">
        <v>24</v>
      </c>
      <c r="O359" s="69"/>
      <c r="P359" s="69"/>
      <c r="Q359" s="8">
        <f t="shared" si="56"/>
        <v>9.5969577464788731</v>
      </c>
      <c r="R359" s="8">
        <f t="shared" si="51"/>
        <v>3.369718309859155</v>
      </c>
      <c r="S359" s="8">
        <f t="shared" si="52"/>
        <v>0.51219718309859152</v>
      </c>
    </row>
    <row r="360" spans="1:19" x14ac:dyDescent="0.25">
      <c r="A360" s="26" t="s">
        <v>473</v>
      </c>
      <c r="B360" s="2">
        <v>5050</v>
      </c>
      <c r="C360" s="1" t="s">
        <v>14</v>
      </c>
      <c r="D360" s="2" t="s">
        <v>306</v>
      </c>
      <c r="E360" s="2" t="s">
        <v>33</v>
      </c>
      <c r="F360" s="2" t="s">
        <v>36</v>
      </c>
      <c r="G360" s="2" t="s">
        <v>143</v>
      </c>
      <c r="H360" s="3">
        <v>77</v>
      </c>
      <c r="I360" s="4">
        <f t="shared" si="57"/>
        <v>0.77</v>
      </c>
      <c r="J360" s="5">
        <v>0.23</v>
      </c>
      <c r="K360" s="5">
        <f t="shared" si="54"/>
        <v>0.6</v>
      </c>
      <c r="L360" s="9">
        <v>0.378</v>
      </c>
      <c r="M360" s="9">
        <v>2.1999999999999999E-2</v>
      </c>
      <c r="N360" s="6" t="s">
        <v>24</v>
      </c>
      <c r="O360" s="69"/>
      <c r="P360" s="69"/>
      <c r="Q360" s="8">
        <f t="shared" si="56"/>
        <v>5.9142857142857146</v>
      </c>
      <c r="R360" s="8">
        <f t="shared" si="51"/>
        <v>3.7260000000000004</v>
      </c>
      <c r="S360" s="8">
        <f t="shared" si="52"/>
        <v>0.21685714285714286</v>
      </c>
    </row>
    <row r="361" spans="1:19" x14ac:dyDescent="0.25">
      <c r="A361" s="26" t="s">
        <v>474</v>
      </c>
      <c r="B361" s="2">
        <v>5050</v>
      </c>
      <c r="C361" s="1" t="s">
        <v>14</v>
      </c>
      <c r="D361" s="2" t="s">
        <v>306</v>
      </c>
      <c r="E361" s="2" t="s">
        <v>33</v>
      </c>
      <c r="F361" s="2" t="s">
        <v>34</v>
      </c>
      <c r="G361" s="2" t="s">
        <v>143</v>
      </c>
      <c r="H361" s="3">
        <v>77</v>
      </c>
      <c r="I361" s="4">
        <f t="shared" si="57"/>
        <v>0.76500000000000001</v>
      </c>
      <c r="J361" s="5">
        <v>0.23499999999999999</v>
      </c>
      <c r="K361" s="5">
        <f t="shared" si="54"/>
        <v>0.94430000000000003</v>
      </c>
      <c r="L361" s="9">
        <v>0.02</v>
      </c>
      <c r="M361" s="9">
        <v>3.5700000000000003E-2</v>
      </c>
      <c r="N361" s="6" t="s">
        <v>6</v>
      </c>
      <c r="O361" s="69"/>
      <c r="P361" s="69"/>
      <c r="Q361" s="8">
        <f t="shared" si="56"/>
        <v>9.5726098039215675</v>
      </c>
      <c r="R361" s="8">
        <f t="shared" si="51"/>
        <v>0.20274509803921564</v>
      </c>
      <c r="S361" s="8">
        <f t="shared" si="52"/>
        <v>0.36189999999999994</v>
      </c>
    </row>
    <row r="362" spans="1:19" x14ac:dyDescent="0.25">
      <c r="A362" s="26" t="s">
        <v>475</v>
      </c>
      <c r="B362" s="3">
        <v>5050</v>
      </c>
      <c r="C362" s="1" t="s">
        <v>14</v>
      </c>
      <c r="D362" s="3" t="s">
        <v>306</v>
      </c>
      <c r="E362" s="3" t="s">
        <v>33</v>
      </c>
      <c r="F362" s="3" t="s">
        <v>34</v>
      </c>
      <c r="G362" s="3" t="s">
        <v>261</v>
      </c>
      <c r="H362" s="3">
        <v>77</v>
      </c>
      <c r="I362" s="32">
        <f t="shared" si="57"/>
        <v>0.83</v>
      </c>
      <c r="J362" s="33">
        <v>0.17</v>
      </c>
      <c r="K362" s="33">
        <f t="shared" si="54"/>
        <v>0.94774193548387098</v>
      </c>
      <c r="L362" s="33">
        <v>0.02</v>
      </c>
      <c r="M362" s="33">
        <v>3.2258064516129031E-2</v>
      </c>
      <c r="N362" s="34" t="s">
        <v>6</v>
      </c>
      <c r="O362" s="69"/>
      <c r="P362" s="69"/>
      <c r="Q362" s="8">
        <f t="shared" si="56"/>
        <v>6.4058219976680935</v>
      </c>
      <c r="R362" s="8">
        <f t="shared" si="51"/>
        <v>0.1351807228915663</v>
      </c>
      <c r="S362" s="8">
        <f t="shared" si="52"/>
        <v>0.2180334240186553</v>
      </c>
    </row>
    <row r="363" spans="1:19" x14ac:dyDescent="0.25">
      <c r="A363" s="26" t="s">
        <v>476</v>
      </c>
      <c r="B363" s="3">
        <v>5050</v>
      </c>
      <c r="C363" s="1" t="s">
        <v>14</v>
      </c>
      <c r="D363" s="3" t="s">
        <v>306</v>
      </c>
      <c r="E363" s="3" t="s">
        <v>33</v>
      </c>
      <c r="F363" s="3" t="s">
        <v>36</v>
      </c>
      <c r="G363" s="3" t="s">
        <v>261</v>
      </c>
      <c r="H363" s="3">
        <v>77</v>
      </c>
      <c r="I363" s="32">
        <f t="shared" si="57"/>
        <v>0.83</v>
      </c>
      <c r="J363" s="33">
        <v>0.17</v>
      </c>
      <c r="K363" s="33">
        <f t="shared" si="54"/>
        <v>0.94774193548387098</v>
      </c>
      <c r="L363" s="33">
        <v>0.02</v>
      </c>
      <c r="M363" s="33">
        <v>3.2258064516129031E-2</v>
      </c>
      <c r="N363" s="34" t="s">
        <v>6</v>
      </c>
      <c r="O363" s="69"/>
      <c r="P363" s="69"/>
      <c r="Q363" s="8">
        <f t="shared" si="56"/>
        <v>6.4058219976680935</v>
      </c>
      <c r="R363" s="8">
        <f t="shared" si="51"/>
        <v>0.1351807228915663</v>
      </c>
      <c r="S363" s="8">
        <f t="shared" si="52"/>
        <v>0.2180334240186553</v>
      </c>
    </row>
    <row r="364" spans="1:19" x14ac:dyDescent="0.25">
      <c r="A364" s="26" t="s">
        <v>365</v>
      </c>
      <c r="B364" s="3">
        <v>5050</v>
      </c>
      <c r="C364" s="1" t="s">
        <v>14</v>
      </c>
      <c r="D364" s="3" t="s">
        <v>15</v>
      </c>
      <c r="E364" s="3" t="s">
        <v>33</v>
      </c>
      <c r="F364" s="3" t="s">
        <v>34</v>
      </c>
      <c r="G364" s="3" t="s">
        <v>137</v>
      </c>
      <c r="H364" s="3">
        <v>77</v>
      </c>
      <c r="I364" s="32">
        <f t="shared" si="57"/>
        <v>0.55000000000000004</v>
      </c>
      <c r="J364" s="33">
        <v>0.45</v>
      </c>
      <c r="K364" s="33">
        <f t="shared" si="54"/>
        <v>0.91749999999999998</v>
      </c>
      <c r="L364" s="36">
        <v>0.02</v>
      </c>
      <c r="M364" s="36">
        <v>6.25E-2</v>
      </c>
      <c r="N364" s="34" t="s">
        <v>6</v>
      </c>
      <c r="O364" s="69"/>
      <c r="P364" s="69"/>
      <c r="Q364" s="8">
        <f t="shared" si="56"/>
        <v>24.772499999999997</v>
      </c>
      <c r="R364" s="8">
        <f t="shared" si="51"/>
        <v>0.53999999999999992</v>
      </c>
      <c r="S364" s="8">
        <f t="shared" si="52"/>
        <v>1.6874999999999998</v>
      </c>
    </row>
    <row r="365" spans="1:19" x14ac:dyDescent="0.25">
      <c r="A365" s="26" t="s">
        <v>477</v>
      </c>
      <c r="B365" s="3">
        <v>5050</v>
      </c>
      <c r="C365" s="1" t="s">
        <v>14</v>
      </c>
      <c r="D365" s="3" t="s">
        <v>15</v>
      </c>
      <c r="E365" s="3" t="s">
        <v>33</v>
      </c>
      <c r="F365" s="3" t="s">
        <v>36</v>
      </c>
      <c r="G365" s="3" t="s">
        <v>137</v>
      </c>
      <c r="H365" s="3">
        <v>77</v>
      </c>
      <c r="I365" s="32">
        <f t="shared" si="57"/>
        <v>0.55000000000000004</v>
      </c>
      <c r="J365" s="33">
        <v>0.45</v>
      </c>
      <c r="K365" s="33">
        <f t="shared" si="54"/>
        <v>0.91749999999999998</v>
      </c>
      <c r="L365" s="36">
        <v>0.02</v>
      </c>
      <c r="M365" s="36">
        <v>6.25E-2</v>
      </c>
      <c r="N365" s="34" t="s">
        <v>6</v>
      </c>
      <c r="O365" s="69"/>
      <c r="P365" s="69"/>
      <c r="Q365" s="8">
        <f t="shared" si="56"/>
        <v>24.772499999999997</v>
      </c>
      <c r="R365" s="8">
        <f t="shared" si="51"/>
        <v>0.53999999999999992</v>
      </c>
      <c r="S365" s="8">
        <f t="shared" si="52"/>
        <v>1.6874999999999998</v>
      </c>
    </row>
    <row r="366" spans="1:19" x14ac:dyDescent="0.25">
      <c r="A366" s="26" t="s">
        <v>478</v>
      </c>
      <c r="B366" s="3">
        <v>5050</v>
      </c>
      <c r="C366" s="1" t="s">
        <v>14</v>
      </c>
      <c r="D366" s="3" t="s">
        <v>15</v>
      </c>
      <c r="E366" s="3" t="s">
        <v>33</v>
      </c>
      <c r="F366" s="3" t="s">
        <v>34</v>
      </c>
      <c r="G366" s="3" t="s">
        <v>139</v>
      </c>
      <c r="H366" s="3">
        <v>77</v>
      </c>
      <c r="I366" s="32">
        <f t="shared" si="57"/>
        <v>0.6</v>
      </c>
      <c r="J366" s="33">
        <v>0.4</v>
      </c>
      <c r="K366" s="33">
        <f t="shared" si="54"/>
        <v>0.92117647058823526</v>
      </c>
      <c r="L366" s="36">
        <v>1.9999999999999997E-2</v>
      </c>
      <c r="M366" s="36">
        <v>5.8823529411764705E-2</v>
      </c>
      <c r="N366" s="34" t="s">
        <v>6</v>
      </c>
      <c r="O366" s="69"/>
      <c r="P366" s="69"/>
      <c r="Q366" s="8">
        <f t="shared" si="56"/>
        <v>20.265882352941176</v>
      </c>
      <c r="R366" s="8">
        <f t="shared" si="51"/>
        <v>0.43999999999999995</v>
      </c>
      <c r="S366" s="8">
        <f t="shared" si="52"/>
        <v>1.2941176470588236</v>
      </c>
    </row>
    <row r="367" spans="1:19" x14ac:dyDescent="0.25">
      <c r="A367" s="26" t="s">
        <v>479</v>
      </c>
      <c r="B367" s="3">
        <v>5050</v>
      </c>
      <c r="C367" s="1" t="s">
        <v>14</v>
      </c>
      <c r="D367" s="3" t="s">
        <v>15</v>
      </c>
      <c r="E367" s="3" t="s">
        <v>33</v>
      </c>
      <c r="F367" s="3" t="s">
        <v>36</v>
      </c>
      <c r="G367" s="3" t="s">
        <v>139</v>
      </c>
      <c r="H367" s="3">
        <v>77</v>
      </c>
      <c r="I367" s="32">
        <f t="shared" si="57"/>
        <v>0.59499999999999997</v>
      </c>
      <c r="J367" s="33">
        <v>0.40500000000000003</v>
      </c>
      <c r="K367" s="33">
        <f t="shared" si="54"/>
        <v>0.91199999999999992</v>
      </c>
      <c r="L367" s="36">
        <v>1.9999999999999997E-2</v>
      </c>
      <c r="M367" s="36">
        <v>6.8000000000000005E-2</v>
      </c>
      <c r="N367" s="34" t="s">
        <v>6</v>
      </c>
      <c r="O367" s="69"/>
      <c r="P367" s="69"/>
      <c r="Q367" s="8">
        <f t="shared" si="56"/>
        <v>20.485512605042018</v>
      </c>
      <c r="R367" s="8">
        <f t="shared" si="51"/>
        <v>0.44924369747899157</v>
      </c>
      <c r="S367" s="8">
        <f t="shared" si="52"/>
        <v>1.5274285714285716</v>
      </c>
    </row>
    <row r="368" spans="1:19" x14ac:dyDescent="0.25">
      <c r="A368" s="26" t="s">
        <v>480</v>
      </c>
      <c r="B368" s="2">
        <v>5050</v>
      </c>
      <c r="C368" s="1" t="s">
        <v>14</v>
      </c>
      <c r="D368" s="2" t="s">
        <v>15</v>
      </c>
      <c r="E368" s="2" t="s">
        <v>33</v>
      </c>
      <c r="F368" s="2" t="s">
        <v>34</v>
      </c>
      <c r="G368" s="2" t="s">
        <v>141</v>
      </c>
      <c r="H368" s="3">
        <v>77</v>
      </c>
      <c r="I368" s="4">
        <f t="shared" si="57"/>
        <v>0.69</v>
      </c>
      <c r="J368" s="9">
        <v>0.31</v>
      </c>
      <c r="K368" s="5">
        <f t="shared" si="54"/>
        <v>0.71799999999999997</v>
      </c>
      <c r="L368" s="24">
        <v>0.25</v>
      </c>
      <c r="M368" s="24">
        <v>3.2000000000000001E-2</v>
      </c>
      <c r="N368" s="6" t="s">
        <v>6</v>
      </c>
      <c r="O368" s="69"/>
      <c r="P368" s="69"/>
      <c r="Q368" s="8">
        <f t="shared" si="56"/>
        <v>10.645130434782608</v>
      </c>
      <c r="R368" s="8">
        <f t="shared" si="51"/>
        <v>3.706521739130435</v>
      </c>
      <c r="S368" s="8">
        <f t="shared" si="52"/>
        <v>0.4744347826086957</v>
      </c>
    </row>
    <row r="369" spans="1:19" x14ac:dyDescent="0.25">
      <c r="A369" s="26" t="s">
        <v>481</v>
      </c>
      <c r="B369" s="2">
        <v>5050</v>
      </c>
      <c r="C369" s="1" t="s">
        <v>14</v>
      </c>
      <c r="D369" s="2" t="s">
        <v>15</v>
      </c>
      <c r="E369" s="2" t="s">
        <v>33</v>
      </c>
      <c r="F369" s="2" t="s">
        <v>36</v>
      </c>
      <c r="G369" s="2" t="s">
        <v>141</v>
      </c>
      <c r="H369" s="3">
        <v>77</v>
      </c>
      <c r="I369" s="4">
        <f t="shared" si="57"/>
        <v>0.77</v>
      </c>
      <c r="J369" s="9">
        <v>0.23</v>
      </c>
      <c r="K369" s="5">
        <f t="shared" si="54"/>
        <v>0.92299999999999993</v>
      </c>
      <c r="L369" s="24">
        <v>0.02</v>
      </c>
      <c r="M369" s="24">
        <v>5.7000000000000002E-2</v>
      </c>
      <c r="N369" s="6" t="s">
        <v>6</v>
      </c>
      <c r="O369" s="69"/>
      <c r="P369" s="69"/>
      <c r="Q369" s="8">
        <f t="shared" si="56"/>
        <v>9.0981428571428573</v>
      </c>
      <c r="R369" s="8">
        <f t="shared" si="51"/>
        <v>0.19714285714285715</v>
      </c>
      <c r="S369" s="8">
        <f t="shared" si="52"/>
        <v>0.56185714285714294</v>
      </c>
    </row>
    <row r="370" spans="1:19" x14ac:dyDescent="0.25">
      <c r="A370" s="26" t="s">
        <v>482</v>
      </c>
      <c r="B370" s="3">
        <v>5050</v>
      </c>
      <c r="C370" s="1" t="s">
        <v>14</v>
      </c>
      <c r="D370" s="3" t="s">
        <v>15</v>
      </c>
      <c r="E370" s="3" t="s">
        <v>54</v>
      </c>
      <c r="F370" s="3" t="s">
        <v>36</v>
      </c>
      <c r="G370" s="37" t="s">
        <v>143</v>
      </c>
      <c r="H370" s="3">
        <v>77</v>
      </c>
      <c r="I370" s="32">
        <f t="shared" si="57"/>
        <v>0.75</v>
      </c>
      <c r="J370" s="33">
        <v>0.25</v>
      </c>
      <c r="K370" s="33">
        <f t="shared" si="54"/>
        <v>0.77700000000000002</v>
      </c>
      <c r="L370" s="36">
        <v>0.2</v>
      </c>
      <c r="M370" s="36">
        <v>2.3E-2</v>
      </c>
      <c r="N370" s="34" t="s">
        <v>6</v>
      </c>
      <c r="O370" s="69"/>
      <c r="P370" s="69"/>
      <c r="Q370" s="8">
        <f t="shared" si="56"/>
        <v>8.5470000000000006</v>
      </c>
      <c r="R370" s="8">
        <f t="shared" si="51"/>
        <v>2.2000000000000002</v>
      </c>
      <c r="S370" s="8">
        <f t="shared" si="52"/>
        <v>0.253</v>
      </c>
    </row>
    <row r="371" spans="1:19" x14ac:dyDescent="0.25">
      <c r="A371" s="26" t="s">
        <v>483</v>
      </c>
      <c r="B371" s="3">
        <v>5050</v>
      </c>
      <c r="C371" s="1" t="s">
        <v>14</v>
      </c>
      <c r="D371" s="3" t="s">
        <v>15</v>
      </c>
      <c r="E371" s="3" t="s">
        <v>54</v>
      </c>
      <c r="F371" s="3" t="s">
        <v>34</v>
      </c>
      <c r="G371" s="37" t="s">
        <v>143</v>
      </c>
      <c r="H371" s="3">
        <v>77</v>
      </c>
      <c r="I371" s="32">
        <f t="shared" si="57"/>
        <v>0.82000000000000006</v>
      </c>
      <c r="J371" s="33">
        <v>0.18</v>
      </c>
      <c r="K371" s="33">
        <f t="shared" si="54"/>
        <v>0.93299999999999994</v>
      </c>
      <c r="L371" s="36">
        <v>0.02</v>
      </c>
      <c r="M371" s="36">
        <v>4.7E-2</v>
      </c>
      <c r="N371" s="34" t="s">
        <v>6</v>
      </c>
      <c r="O371" s="69"/>
      <c r="P371" s="69"/>
      <c r="Q371" s="8">
        <f t="shared" si="56"/>
        <v>6.7585609756097549</v>
      </c>
      <c r="R371" s="8">
        <f t="shared" si="51"/>
        <v>0.14487804878048779</v>
      </c>
      <c r="S371" s="8">
        <f t="shared" si="52"/>
        <v>0.34046341463414631</v>
      </c>
    </row>
    <row r="372" spans="1:19" x14ac:dyDescent="0.25">
      <c r="A372" s="26" t="s">
        <v>484</v>
      </c>
      <c r="B372" s="3">
        <v>5050</v>
      </c>
      <c r="C372" s="1" t="s">
        <v>14</v>
      </c>
      <c r="D372" s="3" t="s">
        <v>15</v>
      </c>
      <c r="E372" s="3" t="s">
        <v>33</v>
      </c>
      <c r="F372" s="3" t="s">
        <v>34</v>
      </c>
      <c r="G372" s="3" t="s">
        <v>261</v>
      </c>
      <c r="H372" s="3">
        <v>77</v>
      </c>
      <c r="I372" s="32">
        <f t="shared" si="57"/>
        <v>0.83</v>
      </c>
      <c r="J372" s="33">
        <v>0.17</v>
      </c>
      <c r="K372" s="33">
        <f t="shared" si="54"/>
        <v>0.94774193548387098</v>
      </c>
      <c r="L372" s="36">
        <v>0.02</v>
      </c>
      <c r="M372" s="36">
        <v>3.2258064516129031E-2</v>
      </c>
      <c r="N372" s="34" t="s">
        <v>6</v>
      </c>
      <c r="O372" s="69"/>
      <c r="P372" s="69"/>
      <c r="Q372" s="8">
        <f t="shared" si="56"/>
        <v>6.4058219976680935</v>
      </c>
      <c r="R372" s="8">
        <f t="shared" si="51"/>
        <v>0.1351807228915663</v>
      </c>
      <c r="S372" s="8">
        <f t="shared" si="52"/>
        <v>0.2180334240186553</v>
      </c>
    </row>
    <row r="373" spans="1:19" x14ac:dyDescent="0.25">
      <c r="A373" s="26" t="s">
        <v>485</v>
      </c>
      <c r="B373" s="3">
        <v>5050</v>
      </c>
      <c r="C373" s="1" t="s">
        <v>14</v>
      </c>
      <c r="D373" s="3" t="s">
        <v>15</v>
      </c>
      <c r="E373" s="3" t="s">
        <v>33</v>
      </c>
      <c r="F373" s="3" t="s">
        <v>36</v>
      </c>
      <c r="G373" s="3" t="s">
        <v>261</v>
      </c>
      <c r="H373" s="3">
        <v>77</v>
      </c>
      <c r="I373" s="32">
        <f t="shared" si="57"/>
        <v>0.8</v>
      </c>
      <c r="J373" s="33">
        <v>0.2</v>
      </c>
      <c r="K373" s="33">
        <f t="shared" si="54"/>
        <v>0.93899999999999995</v>
      </c>
      <c r="L373" s="36">
        <v>0.02</v>
      </c>
      <c r="M373" s="36">
        <v>4.1000000000000002E-2</v>
      </c>
      <c r="N373" s="34" t="s">
        <v>6</v>
      </c>
      <c r="O373" s="69"/>
      <c r="P373" s="69"/>
      <c r="Q373" s="8">
        <f t="shared" si="56"/>
        <v>7.7467499999999996</v>
      </c>
      <c r="R373" s="8">
        <f t="shared" si="51"/>
        <v>0.16500000000000001</v>
      </c>
      <c r="S373" s="8">
        <f t="shared" si="52"/>
        <v>0.33825</v>
      </c>
    </row>
    <row r="374" spans="1:19" x14ac:dyDescent="0.25">
      <c r="A374" s="1" t="s">
        <v>486</v>
      </c>
      <c r="B374" s="1">
        <v>3030</v>
      </c>
      <c r="C374" s="1" t="s">
        <v>14</v>
      </c>
      <c r="D374" s="3" t="s">
        <v>82</v>
      </c>
      <c r="E374" s="1" t="s">
        <v>20</v>
      </c>
      <c r="F374" s="1" t="s">
        <v>376</v>
      </c>
      <c r="G374" s="1" t="s">
        <v>137</v>
      </c>
      <c r="H374" s="3">
        <v>70</v>
      </c>
      <c r="I374" s="11">
        <f t="shared" si="57"/>
        <v>0.51</v>
      </c>
      <c r="J374" s="12">
        <v>0.49</v>
      </c>
      <c r="K374" s="12">
        <f t="shared" si="54"/>
        <v>0.91333333333333333</v>
      </c>
      <c r="L374" s="12">
        <v>0.02</v>
      </c>
      <c r="M374" s="12">
        <v>6.6666666666666666E-2</v>
      </c>
      <c r="N374" s="6" t="s">
        <v>6</v>
      </c>
      <c r="O374" s="69"/>
      <c r="P374" s="69"/>
      <c r="Q374" s="8">
        <f t="shared" si="56"/>
        <v>28.958039215686274</v>
      </c>
      <c r="R374" s="8">
        <f t="shared" si="51"/>
        <v>0.63411764705882345</v>
      </c>
      <c r="S374" s="8">
        <f t="shared" si="52"/>
        <v>2.113725490196078</v>
      </c>
    </row>
    <row r="375" spans="1:19" x14ac:dyDescent="0.25">
      <c r="A375" s="1" t="s">
        <v>487</v>
      </c>
      <c r="B375" s="3">
        <v>3030</v>
      </c>
      <c r="C375" s="1" t="s">
        <v>14</v>
      </c>
      <c r="D375" s="3" t="s">
        <v>82</v>
      </c>
      <c r="E375" s="3" t="s">
        <v>20</v>
      </c>
      <c r="F375" s="3" t="s">
        <v>376</v>
      </c>
      <c r="G375" s="3" t="s">
        <v>139</v>
      </c>
      <c r="H375" s="3">
        <v>70</v>
      </c>
      <c r="I375" s="32">
        <f t="shared" si="57"/>
        <v>0.55000000000000004</v>
      </c>
      <c r="J375" s="33">
        <v>0.45</v>
      </c>
      <c r="K375" s="33">
        <f t="shared" si="54"/>
        <v>0.65949999999999998</v>
      </c>
      <c r="L375" s="33">
        <v>0.3</v>
      </c>
      <c r="M375" s="33">
        <v>4.0500000000000001E-2</v>
      </c>
      <c r="N375" s="34" t="s">
        <v>44</v>
      </c>
      <c r="O375" s="69"/>
      <c r="P375" s="69"/>
      <c r="Q375" s="8">
        <f t="shared" si="56"/>
        <v>17.806499999999996</v>
      </c>
      <c r="R375" s="8">
        <f t="shared" si="51"/>
        <v>8.0999999999999979</v>
      </c>
      <c r="S375" s="8">
        <f t="shared" si="52"/>
        <v>1.0934999999999999</v>
      </c>
    </row>
    <row r="376" spans="1:19" x14ac:dyDescent="0.25">
      <c r="A376" s="1" t="s">
        <v>488</v>
      </c>
      <c r="B376" s="3">
        <v>3030</v>
      </c>
      <c r="C376" s="1" t="s">
        <v>14</v>
      </c>
      <c r="D376" s="3" t="s">
        <v>82</v>
      </c>
      <c r="E376" s="3" t="s">
        <v>20</v>
      </c>
      <c r="F376" s="3" t="s">
        <v>376</v>
      </c>
      <c r="G376" s="3" t="s">
        <v>141</v>
      </c>
      <c r="H376" s="3">
        <v>70</v>
      </c>
      <c r="I376" s="32">
        <f t="shared" si="57"/>
        <v>0.63</v>
      </c>
      <c r="J376" s="35">
        <v>0.37</v>
      </c>
      <c r="K376" s="33">
        <f t="shared" si="54"/>
        <v>0.72</v>
      </c>
      <c r="L376" s="33">
        <v>0.25</v>
      </c>
      <c r="M376" s="33">
        <v>0.03</v>
      </c>
      <c r="N376" s="34" t="s">
        <v>6</v>
      </c>
      <c r="O376" s="69"/>
      <c r="P376" s="69"/>
      <c r="Q376" s="8">
        <f t="shared" si="56"/>
        <v>13.954285714285712</v>
      </c>
      <c r="R376" s="8">
        <f t="shared" si="51"/>
        <v>4.8452380952380949</v>
      </c>
      <c r="S376" s="8">
        <f t="shared" si="52"/>
        <v>0.58142857142857141</v>
      </c>
    </row>
    <row r="377" spans="1:19" x14ac:dyDescent="0.25">
      <c r="A377" s="10" t="s">
        <v>489</v>
      </c>
      <c r="B377" s="3">
        <v>3030</v>
      </c>
      <c r="C377" s="1" t="s">
        <v>14</v>
      </c>
      <c r="D377" s="3" t="s">
        <v>82</v>
      </c>
      <c r="E377" s="3" t="s">
        <v>20</v>
      </c>
      <c r="F377" s="3" t="s">
        <v>376</v>
      </c>
      <c r="G377" s="3" t="s">
        <v>143</v>
      </c>
      <c r="H377" s="3">
        <v>70</v>
      </c>
      <c r="I377" s="32">
        <f t="shared" si="57"/>
        <v>0.70500000000000007</v>
      </c>
      <c r="J377" s="33">
        <v>0.29499999999999998</v>
      </c>
      <c r="K377" s="33">
        <f t="shared" si="54"/>
        <v>0.6825</v>
      </c>
      <c r="L377" s="33">
        <v>0.3</v>
      </c>
      <c r="M377" s="35">
        <v>1.7500000000000002E-2</v>
      </c>
      <c r="N377" s="34" t="s">
        <v>24</v>
      </c>
      <c r="O377" s="69"/>
      <c r="P377" s="69"/>
      <c r="Q377" s="8">
        <f t="shared" si="56"/>
        <v>9.424308510638296</v>
      </c>
      <c r="R377" s="8">
        <f t="shared" si="51"/>
        <v>4.1425531914893607</v>
      </c>
      <c r="S377" s="8">
        <f t="shared" si="52"/>
        <v>0.24164893617021274</v>
      </c>
    </row>
    <row r="378" spans="1:19" x14ac:dyDescent="0.25">
      <c r="A378" s="1" t="s">
        <v>490</v>
      </c>
      <c r="B378" s="3">
        <v>3030</v>
      </c>
      <c r="C378" s="1" t="s">
        <v>14</v>
      </c>
      <c r="D378" s="3" t="s">
        <v>82</v>
      </c>
      <c r="E378" s="3" t="s">
        <v>20</v>
      </c>
      <c r="F378" s="3" t="s">
        <v>376</v>
      </c>
      <c r="G378" s="3" t="s">
        <v>261</v>
      </c>
      <c r="H378" s="3">
        <v>70</v>
      </c>
      <c r="I378" s="32">
        <f t="shared" si="57"/>
        <v>0.8</v>
      </c>
      <c r="J378" s="33">
        <v>0.2</v>
      </c>
      <c r="K378" s="33">
        <f t="shared" si="54"/>
        <v>0.95014925373134329</v>
      </c>
      <c r="L378" s="33">
        <v>0.02</v>
      </c>
      <c r="M378" s="33">
        <v>2.9850746268656716E-2</v>
      </c>
      <c r="N378" s="34" t="s">
        <v>6</v>
      </c>
      <c r="O378" s="69"/>
      <c r="P378" s="69"/>
      <c r="Q378" s="8">
        <f t="shared" si="56"/>
        <v>7.8387313432835821</v>
      </c>
      <c r="R378" s="8">
        <f t="shared" si="51"/>
        <v>0.16500000000000001</v>
      </c>
      <c r="S378" s="8">
        <f t="shared" si="52"/>
        <v>0.2462686567164179</v>
      </c>
    </row>
    <row r="379" spans="1:19" x14ac:dyDescent="0.25">
      <c r="A379" s="26" t="s">
        <v>191</v>
      </c>
      <c r="B379" s="3">
        <v>5050</v>
      </c>
      <c r="C379" s="1" t="s">
        <v>1</v>
      </c>
      <c r="D379" s="3" t="s">
        <v>15</v>
      </c>
      <c r="E379" s="3" t="s">
        <v>51</v>
      </c>
      <c r="F379" s="3" t="s">
        <v>52</v>
      </c>
      <c r="G379" s="3" t="s">
        <v>137</v>
      </c>
      <c r="H379" s="3">
        <v>80</v>
      </c>
      <c r="I379" s="32">
        <f t="shared" si="57"/>
        <v>0.59000000000000008</v>
      </c>
      <c r="J379" s="33">
        <v>0.41</v>
      </c>
      <c r="K379" s="33">
        <f t="shared" si="54"/>
        <v>0.90749999999999997</v>
      </c>
      <c r="L379" s="36">
        <v>0.02</v>
      </c>
      <c r="M379" s="36">
        <v>7.2499999999999995E-2</v>
      </c>
      <c r="N379" s="34" t="s">
        <v>24</v>
      </c>
      <c r="O379" s="69"/>
      <c r="P379" s="69"/>
      <c r="Q379" s="8">
        <f t="shared" si="56"/>
        <v>20.810974576271178</v>
      </c>
      <c r="R379" s="8">
        <f t="shared" si="51"/>
        <v>0.45864406779661004</v>
      </c>
      <c r="S379" s="8">
        <f t="shared" si="52"/>
        <v>1.6625847457627112</v>
      </c>
    </row>
    <row r="380" spans="1:19" ht="15" customHeight="1" x14ac:dyDescent="0.25">
      <c r="A380" s="26" t="s">
        <v>491</v>
      </c>
      <c r="B380" s="3">
        <v>5050</v>
      </c>
      <c r="C380" s="1" t="s">
        <v>1</v>
      </c>
      <c r="D380" s="3" t="s">
        <v>15</v>
      </c>
      <c r="E380" s="3" t="s">
        <v>51</v>
      </c>
      <c r="F380" s="3" t="s">
        <v>52</v>
      </c>
      <c r="G380" s="3" t="s">
        <v>139</v>
      </c>
      <c r="H380" s="3">
        <v>70</v>
      </c>
      <c r="I380" s="32">
        <f t="shared" si="57"/>
        <v>0.65</v>
      </c>
      <c r="J380" s="33">
        <v>0.35</v>
      </c>
      <c r="K380" s="33">
        <f t="shared" si="54"/>
        <v>0.64799999999999991</v>
      </c>
      <c r="L380" s="36">
        <v>0.3</v>
      </c>
      <c r="M380" s="36">
        <v>5.1999999999999998E-2</v>
      </c>
      <c r="N380" s="34" t="s">
        <v>266</v>
      </c>
      <c r="O380" s="69"/>
      <c r="P380" s="69"/>
      <c r="Q380" s="8">
        <f t="shared" si="56"/>
        <v>11.514461538461536</v>
      </c>
      <c r="R380" s="8">
        <f t="shared" si="51"/>
        <v>5.3307692307692296</v>
      </c>
      <c r="S380" s="8">
        <f t="shared" si="52"/>
        <v>0.92399999999999982</v>
      </c>
    </row>
    <row r="381" spans="1:19" x14ac:dyDescent="0.25">
      <c r="A381" s="1" t="s">
        <v>492</v>
      </c>
      <c r="B381" s="2">
        <v>2835</v>
      </c>
      <c r="C381" s="1" t="s">
        <v>1</v>
      </c>
      <c r="D381" s="2" t="s">
        <v>383</v>
      </c>
      <c r="E381" s="2" t="s">
        <v>3</v>
      </c>
      <c r="F381" s="2" t="s">
        <v>4</v>
      </c>
      <c r="G381" s="2" t="s">
        <v>141</v>
      </c>
      <c r="H381" s="3">
        <v>90</v>
      </c>
      <c r="I381" s="4">
        <f t="shared" si="57"/>
        <v>0.49</v>
      </c>
      <c r="J381" s="9">
        <v>0.51</v>
      </c>
      <c r="K381" s="5">
        <f t="shared" si="54"/>
        <v>0.90839999999999999</v>
      </c>
      <c r="L381" s="9">
        <v>0</v>
      </c>
      <c r="M381" s="9">
        <v>9.1600000000000001E-2</v>
      </c>
      <c r="N381" s="6" t="s">
        <v>24</v>
      </c>
      <c r="O381" s="69"/>
      <c r="P381" s="69"/>
      <c r="Q381" s="8">
        <f t="shared" si="56"/>
        <v>31.200759183673476</v>
      </c>
      <c r="R381" s="8">
        <f t="shared" si="51"/>
        <v>0</v>
      </c>
      <c r="S381" s="8">
        <f t="shared" si="52"/>
        <v>3.1461795918367352</v>
      </c>
    </row>
    <row r="382" spans="1:19" ht="15" customHeight="1" x14ac:dyDescent="0.25">
      <c r="A382" s="1" t="s">
        <v>493</v>
      </c>
      <c r="B382" s="3">
        <v>2835</v>
      </c>
      <c r="C382" s="1" t="s">
        <v>1</v>
      </c>
      <c r="D382" s="3" t="s">
        <v>15</v>
      </c>
      <c r="E382" s="3" t="s">
        <v>3</v>
      </c>
      <c r="F382" s="3" t="s">
        <v>4</v>
      </c>
      <c r="G382" s="3" t="s">
        <v>143</v>
      </c>
      <c r="H382" s="3">
        <v>80</v>
      </c>
      <c r="I382" s="32">
        <f t="shared" si="57"/>
        <v>0.7</v>
      </c>
      <c r="J382" s="33">
        <v>0.3</v>
      </c>
      <c r="K382" s="33">
        <f t="shared" si="54"/>
        <v>0.65</v>
      </c>
      <c r="L382" s="33">
        <v>0.311</v>
      </c>
      <c r="M382" s="33">
        <v>3.9E-2</v>
      </c>
      <c r="N382" s="34" t="s">
        <v>266</v>
      </c>
      <c r="O382" s="69"/>
      <c r="P382" s="69"/>
      <c r="Q382" s="8">
        <f t="shared" si="56"/>
        <v>9.1928571428571448</v>
      </c>
      <c r="R382" s="8">
        <f t="shared" si="51"/>
        <v>4.398428571428572</v>
      </c>
      <c r="S382" s="8">
        <f t="shared" si="52"/>
        <v>0.5515714285714286</v>
      </c>
    </row>
    <row r="383" spans="1:19" ht="15" customHeight="1" x14ac:dyDescent="0.25">
      <c r="A383" s="1" t="s">
        <v>248</v>
      </c>
      <c r="B383" s="3">
        <v>2835</v>
      </c>
      <c r="C383" s="1" t="s">
        <v>1</v>
      </c>
      <c r="D383" s="3" t="s">
        <v>15</v>
      </c>
      <c r="E383" s="3" t="s">
        <v>3</v>
      </c>
      <c r="F383" s="3" t="s">
        <v>4</v>
      </c>
      <c r="G383" s="3" t="s">
        <v>141</v>
      </c>
      <c r="H383" s="3">
        <v>80</v>
      </c>
      <c r="I383" s="32">
        <f t="shared" si="57"/>
        <v>0.65500000000000003</v>
      </c>
      <c r="J383" s="33">
        <v>0.34499999999999997</v>
      </c>
      <c r="K383" s="33">
        <f t="shared" si="54"/>
        <v>0.45400000000000001</v>
      </c>
      <c r="L383" s="33">
        <v>0.5</v>
      </c>
      <c r="M383" s="33">
        <v>4.5999999999999999E-2</v>
      </c>
      <c r="N383" s="34" t="s">
        <v>24</v>
      </c>
      <c r="O383" s="69"/>
      <c r="P383" s="69"/>
      <c r="Q383" s="8">
        <f t="shared" si="56"/>
        <v>7.891282442748091</v>
      </c>
      <c r="R383" s="8">
        <f t="shared" si="51"/>
        <v>8.6908396946564874</v>
      </c>
      <c r="S383" s="8">
        <f t="shared" si="52"/>
        <v>0.79955725190839688</v>
      </c>
    </row>
    <row r="384" spans="1:19" x14ac:dyDescent="0.25">
      <c r="A384" s="1" t="s">
        <v>494</v>
      </c>
      <c r="B384" s="2">
        <v>2835</v>
      </c>
      <c r="C384" s="1" t="s">
        <v>1</v>
      </c>
      <c r="D384" s="2" t="s">
        <v>15</v>
      </c>
      <c r="E384" s="2" t="s">
        <v>3</v>
      </c>
      <c r="F384" s="2" t="s">
        <v>4</v>
      </c>
      <c r="G384" s="2" t="s">
        <v>141</v>
      </c>
      <c r="H384" s="3">
        <v>90</v>
      </c>
      <c r="I384" s="4">
        <f t="shared" si="57"/>
        <v>0.47499999999999998</v>
      </c>
      <c r="J384" s="9">
        <v>0.52500000000000002</v>
      </c>
      <c r="K384" s="5">
        <f t="shared" si="54"/>
        <v>0.91</v>
      </c>
      <c r="L384" s="9">
        <v>0</v>
      </c>
      <c r="M384" s="9">
        <v>0.09</v>
      </c>
      <c r="N384" s="6" t="s">
        <v>24</v>
      </c>
      <c r="O384" s="69"/>
      <c r="P384" s="69"/>
      <c r="Q384" s="8">
        <f t="shared" si="56"/>
        <v>33.191052631578948</v>
      </c>
      <c r="R384" s="8">
        <f t="shared" si="51"/>
        <v>0</v>
      </c>
      <c r="S384" s="8">
        <f t="shared" si="52"/>
        <v>3.2826315789473681</v>
      </c>
    </row>
    <row r="385" spans="1:19" ht="13.5" customHeight="1" x14ac:dyDescent="0.25">
      <c r="A385" s="1" t="s">
        <v>495</v>
      </c>
      <c r="B385" s="2">
        <v>2835</v>
      </c>
      <c r="C385" s="1" t="s">
        <v>1</v>
      </c>
      <c r="D385" s="2" t="s">
        <v>15</v>
      </c>
      <c r="E385" s="2" t="s">
        <v>3</v>
      </c>
      <c r="F385" s="2" t="s">
        <v>4</v>
      </c>
      <c r="G385" s="2" t="s">
        <v>143</v>
      </c>
      <c r="H385" s="3">
        <v>90</v>
      </c>
      <c r="I385" s="4">
        <f t="shared" si="57"/>
        <v>0.57499999999999996</v>
      </c>
      <c r="J385" s="9">
        <v>0.42499999999999999</v>
      </c>
      <c r="K385" s="5">
        <f t="shared" si="54"/>
        <v>0.86599999999999999</v>
      </c>
      <c r="L385" s="9">
        <v>0</v>
      </c>
      <c r="M385" s="9">
        <v>0.13400000000000001</v>
      </c>
      <c r="N385" s="6" t="s">
        <v>266</v>
      </c>
      <c r="O385" s="69"/>
      <c r="P385" s="69"/>
      <c r="Q385" s="8">
        <f t="shared" si="56"/>
        <v>21.122869565217393</v>
      </c>
      <c r="R385" s="8">
        <f t="shared" si="51"/>
        <v>0</v>
      </c>
      <c r="S385" s="8">
        <f t="shared" si="52"/>
        <v>3.2684347826086961</v>
      </c>
    </row>
    <row r="386" spans="1:19" ht="13.5" customHeight="1" x14ac:dyDescent="0.25">
      <c r="A386" s="1" t="s">
        <v>496</v>
      </c>
      <c r="B386" s="2">
        <v>2835</v>
      </c>
      <c r="C386" s="1" t="s">
        <v>1</v>
      </c>
      <c r="D386" s="2" t="s">
        <v>15</v>
      </c>
      <c r="E386" s="2" t="s">
        <v>3</v>
      </c>
      <c r="F386" s="2" t="s">
        <v>4</v>
      </c>
      <c r="G386" s="2" t="s">
        <v>139</v>
      </c>
      <c r="H386" s="3">
        <v>90</v>
      </c>
      <c r="I386" s="4">
        <f t="shared" si="57"/>
        <v>0.42000000000000004</v>
      </c>
      <c r="J386" s="9">
        <v>0.57999999999999996</v>
      </c>
      <c r="K386" s="5">
        <f t="shared" si="54"/>
        <v>0.89749999999999996</v>
      </c>
      <c r="L386" s="9">
        <v>0</v>
      </c>
      <c r="M386" s="9">
        <v>0.10249999999999999</v>
      </c>
      <c r="N386" s="6" t="s">
        <v>266</v>
      </c>
      <c r="O386" s="69"/>
      <c r="P386" s="69"/>
      <c r="Q386" s="8">
        <f t="shared" si="56"/>
        <v>40.900357142857139</v>
      </c>
      <c r="R386" s="8">
        <f t="shared" si="51"/>
        <v>0</v>
      </c>
      <c r="S386" s="8">
        <f t="shared" si="52"/>
        <v>4.6710714285714277</v>
      </c>
    </row>
    <row r="387" spans="1:19" ht="15" customHeight="1" x14ac:dyDescent="0.25">
      <c r="A387" s="1" t="s">
        <v>497</v>
      </c>
      <c r="B387" s="3">
        <v>2835</v>
      </c>
      <c r="C387" s="1" t="s">
        <v>1</v>
      </c>
      <c r="D387" s="3" t="s">
        <v>15</v>
      </c>
      <c r="E387" s="3" t="s">
        <v>3</v>
      </c>
      <c r="F387" s="3" t="s">
        <v>4</v>
      </c>
      <c r="G387" s="3" t="s">
        <v>141</v>
      </c>
      <c r="H387" s="3">
        <v>70</v>
      </c>
      <c r="I387" s="32">
        <f t="shared" si="57"/>
        <v>0.64</v>
      </c>
      <c r="J387" s="33">
        <v>0.36</v>
      </c>
      <c r="K387" s="33">
        <f t="shared" si="54"/>
        <v>0.66899999999999993</v>
      </c>
      <c r="L387" s="33">
        <v>0.3</v>
      </c>
      <c r="M387" s="33">
        <v>3.1E-2</v>
      </c>
      <c r="N387" s="34" t="s">
        <v>266</v>
      </c>
      <c r="O387" s="69"/>
      <c r="P387" s="69"/>
      <c r="Q387" s="8">
        <f t="shared" si="56"/>
        <v>12.418312499999999</v>
      </c>
      <c r="R387" s="8">
        <f t="shared" si="51"/>
        <v>5.5687499999999996</v>
      </c>
      <c r="S387" s="8">
        <f t="shared" si="52"/>
        <v>0.57543750000000005</v>
      </c>
    </row>
    <row r="388" spans="1:19" ht="15" customHeight="1" x14ac:dyDescent="0.25">
      <c r="A388" s="1" t="s">
        <v>498</v>
      </c>
      <c r="B388" s="3">
        <v>2835</v>
      </c>
      <c r="C388" s="1" t="s">
        <v>1</v>
      </c>
      <c r="D388" s="3" t="s">
        <v>306</v>
      </c>
      <c r="E388" s="3" t="s">
        <v>389</v>
      </c>
      <c r="F388" s="3" t="s">
        <v>390</v>
      </c>
      <c r="G388" s="3" t="s">
        <v>141</v>
      </c>
      <c r="H388" s="3">
        <v>80</v>
      </c>
      <c r="I388" s="32">
        <f t="shared" si="57"/>
        <v>0.65</v>
      </c>
      <c r="J388" s="33">
        <v>0.35</v>
      </c>
      <c r="K388" s="33">
        <f t="shared" si="54"/>
        <v>0.70199999999999996</v>
      </c>
      <c r="L388" s="33">
        <v>0.25</v>
      </c>
      <c r="M388" s="33">
        <v>4.8000000000000001E-2</v>
      </c>
      <c r="N388" s="34" t="s">
        <v>24</v>
      </c>
      <c r="O388" s="69"/>
      <c r="P388" s="69"/>
      <c r="Q388" s="8">
        <f t="shared" si="56"/>
        <v>12.473999999999997</v>
      </c>
      <c r="R388" s="8">
        <f t="shared" si="51"/>
        <v>4.4423076923076916</v>
      </c>
      <c r="S388" s="8">
        <f t="shared" si="52"/>
        <v>0.85292307692307678</v>
      </c>
    </row>
    <row r="389" spans="1:19" ht="15" customHeight="1" x14ac:dyDescent="0.25">
      <c r="A389" s="1" t="s">
        <v>499</v>
      </c>
      <c r="B389" s="3">
        <v>2835</v>
      </c>
      <c r="C389" s="1" t="s">
        <v>1</v>
      </c>
      <c r="D389" s="3" t="s">
        <v>306</v>
      </c>
      <c r="E389" s="3" t="s">
        <v>20</v>
      </c>
      <c r="F389" s="3" t="s">
        <v>21</v>
      </c>
      <c r="G389" s="3" t="s">
        <v>141</v>
      </c>
      <c r="H389" s="3">
        <v>80</v>
      </c>
      <c r="I389" s="32">
        <f t="shared" si="57"/>
        <v>0.62</v>
      </c>
      <c r="J389" s="33">
        <v>0.38</v>
      </c>
      <c r="K389" s="33">
        <f t="shared" si="54"/>
        <v>0.70699999999999996</v>
      </c>
      <c r="L389" s="33">
        <v>0.25</v>
      </c>
      <c r="M389" s="33">
        <v>4.2999999999999997E-2</v>
      </c>
      <c r="N389" s="34" t="s">
        <v>266</v>
      </c>
      <c r="O389" s="69"/>
      <c r="P389" s="69"/>
      <c r="Q389" s="8">
        <f t="shared" si="56"/>
        <v>14.299645161290321</v>
      </c>
      <c r="R389" s="8">
        <f t="shared" si="51"/>
        <v>5.056451612903226</v>
      </c>
      <c r="S389" s="8">
        <f t="shared" si="52"/>
        <v>0.86970967741935479</v>
      </c>
    </row>
    <row r="390" spans="1:19" ht="15" customHeight="1" x14ac:dyDescent="0.25">
      <c r="A390" s="1" t="s">
        <v>500</v>
      </c>
      <c r="B390" s="3">
        <v>2835</v>
      </c>
      <c r="C390" s="1" t="s">
        <v>1</v>
      </c>
      <c r="D390" s="3" t="s">
        <v>393</v>
      </c>
      <c r="E390" s="3" t="s">
        <v>20</v>
      </c>
      <c r="F390" s="3" t="s">
        <v>21</v>
      </c>
      <c r="G390" s="3" t="s">
        <v>141</v>
      </c>
      <c r="H390" s="3">
        <v>80</v>
      </c>
      <c r="I390" s="32">
        <f t="shared" si="57"/>
        <v>0.65</v>
      </c>
      <c r="J390" s="33">
        <v>0.35</v>
      </c>
      <c r="K390" s="33">
        <f t="shared" si="54"/>
        <v>0.70199999999999996</v>
      </c>
      <c r="L390" s="33">
        <v>0.25</v>
      </c>
      <c r="M390" s="33">
        <v>4.8000000000000001E-2</v>
      </c>
      <c r="N390" s="34" t="s">
        <v>24</v>
      </c>
      <c r="O390" s="69"/>
      <c r="P390" s="69"/>
      <c r="Q390" s="8">
        <f t="shared" si="56"/>
        <v>12.473999999999997</v>
      </c>
      <c r="R390" s="8">
        <f t="shared" si="51"/>
        <v>4.4423076923076916</v>
      </c>
      <c r="S390" s="8">
        <f t="shared" si="52"/>
        <v>0.85292307692307678</v>
      </c>
    </row>
    <row r="391" spans="1:19" x14ac:dyDescent="0.25">
      <c r="A391" s="26" t="s">
        <v>251</v>
      </c>
      <c r="B391" s="3">
        <v>5050</v>
      </c>
      <c r="C391" s="1" t="s">
        <v>1</v>
      </c>
      <c r="D391" s="3" t="s">
        <v>15</v>
      </c>
      <c r="E391" s="3" t="s">
        <v>51</v>
      </c>
      <c r="F391" s="3" t="s">
        <v>52</v>
      </c>
      <c r="G391" s="3" t="s">
        <v>143</v>
      </c>
      <c r="H391" s="3">
        <v>70</v>
      </c>
      <c r="I391" s="32">
        <f t="shared" si="57"/>
        <v>0.8</v>
      </c>
      <c r="J391" s="33">
        <v>0.2</v>
      </c>
      <c r="K391" s="33">
        <f t="shared" si="54"/>
        <v>0.57199999999999995</v>
      </c>
      <c r="L391" s="36">
        <v>0.4</v>
      </c>
      <c r="M391" s="36">
        <v>2.8000000000000001E-2</v>
      </c>
      <c r="N391" s="34" t="s">
        <v>24</v>
      </c>
      <c r="O391" s="69"/>
      <c r="P391" s="69"/>
      <c r="Q391" s="8">
        <f t="shared" si="56"/>
        <v>4.7189999999999994</v>
      </c>
      <c r="R391" s="8">
        <f t="shared" si="51"/>
        <v>3.3000000000000003</v>
      </c>
      <c r="S391" s="8">
        <f t="shared" si="52"/>
        <v>0.23100000000000001</v>
      </c>
    </row>
    <row r="392" spans="1:19" x14ac:dyDescent="0.25">
      <c r="A392" s="26" t="s">
        <v>250</v>
      </c>
      <c r="B392" s="3">
        <v>5050</v>
      </c>
      <c r="C392" s="1" t="s">
        <v>1</v>
      </c>
      <c r="D392" s="3" t="s">
        <v>15</v>
      </c>
      <c r="E392" s="3" t="s">
        <v>51</v>
      </c>
      <c r="F392" s="3" t="s">
        <v>52</v>
      </c>
      <c r="G392" s="3" t="s">
        <v>143</v>
      </c>
      <c r="H392" s="3">
        <v>80</v>
      </c>
      <c r="I392" s="32">
        <f t="shared" si="57"/>
        <v>0.755</v>
      </c>
      <c r="J392" s="33">
        <v>0.245</v>
      </c>
      <c r="K392" s="33">
        <f t="shared" si="54"/>
        <v>0.65649999999999997</v>
      </c>
      <c r="L392" s="36">
        <v>0.3</v>
      </c>
      <c r="M392" s="36">
        <v>4.3499999999999997E-2</v>
      </c>
      <c r="N392" s="34" t="s">
        <v>24</v>
      </c>
      <c r="O392" s="69"/>
      <c r="P392" s="69"/>
      <c r="Q392" s="8">
        <f t="shared" si="56"/>
        <v>7.0302019867549665</v>
      </c>
      <c r="R392" s="8">
        <f t="shared" si="51"/>
        <v>3.2125827814569532</v>
      </c>
      <c r="S392" s="8">
        <f t="shared" si="52"/>
        <v>0.46582450331125824</v>
      </c>
    </row>
    <row r="393" spans="1:19" ht="15" customHeight="1" x14ac:dyDescent="0.25">
      <c r="A393" s="1" t="s">
        <v>501</v>
      </c>
      <c r="B393" s="3">
        <v>2835</v>
      </c>
      <c r="C393" s="1" t="s">
        <v>1</v>
      </c>
      <c r="D393" s="3" t="s">
        <v>393</v>
      </c>
      <c r="E393" s="3" t="s">
        <v>3</v>
      </c>
      <c r="F393" s="3" t="s">
        <v>4</v>
      </c>
      <c r="G393" s="3" t="s">
        <v>141</v>
      </c>
      <c r="H393" s="3">
        <v>80</v>
      </c>
      <c r="I393" s="32">
        <f t="shared" si="57"/>
        <v>0.61</v>
      </c>
      <c r="J393" s="33">
        <v>0.39</v>
      </c>
      <c r="K393" s="33">
        <f t="shared" si="54"/>
        <v>0.70699999999999996</v>
      </c>
      <c r="L393" s="33">
        <v>0.25</v>
      </c>
      <c r="M393" s="33">
        <v>4.2999999999999997E-2</v>
      </c>
      <c r="N393" s="34" t="s">
        <v>24</v>
      </c>
      <c r="O393" s="69"/>
      <c r="P393" s="69"/>
      <c r="Q393" s="8">
        <f t="shared" si="56"/>
        <v>14.916540983606557</v>
      </c>
      <c r="R393" s="8">
        <f t="shared" si="51"/>
        <v>5.2745901639344268</v>
      </c>
      <c r="S393" s="8">
        <f t="shared" si="52"/>
        <v>0.90722950819672132</v>
      </c>
    </row>
    <row r="394" spans="1:19" ht="15" customHeight="1" x14ac:dyDescent="0.25">
      <c r="A394" s="1" t="s">
        <v>502</v>
      </c>
      <c r="B394" s="3">
        <v>2835</v>
      </c>
      <c r="C394" s="1" t="s">
        <v>1</v>
      </c>
      <c r="D394" s="3" t="s">
        <v>306</v>
      </c>
      <c r="E394" s="3" t="s">
        <v>20</v>
      </c>
      <c r="F394" s="3" t="s">
        <v>396</v>
      </c>
      <c r="G394" s="3" t="s">
        <v>141</v>
      </c>
      <c r="H394" s="3">
        <v>80</v>
      </c>
      <c r="I394" s="32">
        <f t="shared" si="57"/>
        <v>0.62</v>
      </c>
      <c r="J394" s="33">
        <v>0.38</v>
      </c>
      <c r="K394" s="33">
        <f t="shared" si="54"/>
        <v>0.70499999999999996</v>
      </c>
      <c r="L394" s="33">
        <v>0.25</v>
      </c>
      <c r="M394" s="33">
        <v>4.4999999999999998E-2</v>
      </c>
      <c r="N394" s="34" t="s">
        <v>266</v>
      </c>
      <c r="O394" s="69"/>
      <c r="P394" s="69"/>
      <c r="Q394" s="8">
        <f t="shared" si="56"/>
        <v>14.259193548387097</v>
      </c>
      <c r="R394" s="8">
        <f t="shared" si="51"/>
        <v>5.056451612903226</v>
      </c>
      <c r="S394" s="8">
        <f t="shared" si="52"/>
        <v>0.91016129032258064</v>
      </c>
    </row>
    <row r="395" spans="1:19" ht="15" customHeight="1" x14ac:dyDescent="0.25">
      <c r="A395" s="1" t="s">
        <v>503</v>
      </c>
      <c r="B395" s="19">
        <v>3030</v>
      </c>
      <c r="C395" s="1" t="s">
        <v>14</v>
      </c>
      <c r="D395" s="19" t="s">
        <v>15</v>
      </c>
      <c r="E395" s="19" t="s">
        <v>20</v>
      </c>
      <c r="F395" s="19" t="s">
        <v>21</v>
      </c>
      <c r="G395" s="19" t="s">
        <v>139</v>
      </c>
      <c r="H395" s="3">
        <v>90</v>
      </c>
      <c r="I395" s="20">
        <f t="shared" si="57"/>
        <v>0.41000000000000003</v>
      </c>
      <c r="J395" s="16">
        <v>0.59</v>
      </c>
      <c r="K395" s="21">
        <f t="shared" si="54"/>
        <v>0.88849999999999996</v>
      </c>
      <c r="L395" s="22">
        <v>0</v>
      </c>
      <c r="M395" s="22">
        <v>0.1115</v>
      </c>
      <c r="N395" s="18" t="s">
        <v>24</v>
      </c>
      <c r="O395" s="69"/>
      <c r="P395" s="69"/>
      <c r="Q395" s="8">
        <f t="shared" si="56"/>
        <v>42.192914634146334</v>
      </c>
      <c r="R395" s="8">
        <f t="shared" si="51"/>
        <v>0</v>
      </c>
      <c r="S395" s="8">
        <f t="shared" si="52"/>
        <v>5.2948902439024383</v>
      </c>
    </row>
    <row r="396" spans="1:19" x14ac:dyDescent="0.25">
      <c r="A396" s="26" t="s">
        <v>255</v>
      </c>
      <c r="B396" s="2">
        <v>5050</v>
      </c>
      <c r="C396" s="26" t="s">
        <v>14</v>
      </c>
      <c r="D396" s="2" t="s">
        <v>15</v>
      </c>
      <c r="E396" s="2" t="s">
        <v>33</v>
      </c>
      <c r="F396" s="2" t="s">
        <v>36</v>
      </c>
      <c r="G396" s="2" t="s">
        <v>141</v>
      </c>
      <c r="H396" s="3">
        <v>90</v>
      </c>
      <c r="I396" s="4">
        <f t="shared" si="57"/>
        <v>0.47499999999999998</v>
      </c>
      <c r="J396" s="9">
        <v>0.52500000000000002</v>
      </c>
      <c r="K396" s="5">
        <f t="shared" si="54"/>
        <v>0.91</v>
      </c>
      <c r="L396" s="24">
        <v>0</v>
      </c>
      <c r="M396" s="24">
        <v>0.09</v>
      </c>
      <c r="N396" s="6" t="s">
        <v>24</v>
      </c>
      <c r="O396" s="69"/>
      <c r="P396" s="69"/>
      <c r="Q396" s="8">
        <f t="shared" si="56"/>
        <v>33.191052631578948</v>
      </c>
      <c r="R396" s="8">
        <f t="shared" si="51"/>
        <v>0</v>
      </c>
      <c r="S396" s="8">
        <f t="shared" si="52"/>
        <v>3.2826315789473681</v>
      </c>
    </row>
    <row r="397" spans="1:19" x14ac:dyDescent="0.25">
      <c r="A397" s="1" t="s">
        <v>504</v>
      </c>
      <c r="B397" s="19">
        <v>3030</v>
      </c>
      <c r="C397" s="1" t="s">
        <v>14</v>
      </c>
      <c r="D397" s="19" t="s">
        <v>15</v>
      </c>
      <c r="E397" s="19" t="s">
        <v>20</v>
      </c>
      <c r="F397" s="19" t="s">
        <v>21</v>
      </c>
      <c r="G397" s="19" t="s">
        <v>141</v>
      </c>
      <c r="H397" s="3">
        <v>90</v>
      </c>
      <c r="I397" s="20">
        <f>100%-J397</f>
        <v>0.505</v>
      </c>
      <c r="J397" s="21">
        <v>0.495</v>
      </c>
      <c r="K397" s="21">
        <f t="shared" si="54"/>
        <v>0.90200000000000002</v>
      </c>
      <c r="L397" s="21">
        <v>0</v>
      </c>
      <c r="M397" s="21">
        <v>9.8000000000000004E-2</v>
      </c>
      <c r="N397" s="18" t="s">
        <v>44</v>
      </c>
      <c r="O397" s="69"/>
      <c r="P397" s="69"/>
      <c r="Q397" s="8">
        <f t="shared" si="56"/>
        <v>29.176574257425738</v>
      </c>
      <c r="R397" s="8">
        <f t="shared" si="51"/>
        <v>0</v>
      </c>
      <c r="S397" s="8">
        <f t="shared" si="52"/>
        <v>3.1699603960396034</v>
      </c>
    </row>
    <row r="398" spans="1:19" x14ac:dyDescent="0.25">
      <c r="A398" s="26" t="s">
        <v>505</v>
      </c>
      <c r="B398" s="3">
        <v>5050</v>
      </c>
      <c r="C398" s="1" t="s">
        <v>14</v>
      </c>
      <c r="D398" s="3" t="s">
        <v>393</v>
      </c>
      <c r="E398" s="3" t="s">
        <v>33</v>
      </c>
      <c r="F398" s="3" t="s">
        <v>36</v>
      </c>
      <c r="G398" s="3" t="s">
        <v>141</v>
      </c>
      <c r="H398" s="3">
        <v>70</v>
      </c>
      <c r="I398" s="32">
        <f t="shared" ref="I398:I400" si="58">100%-J398</f>
        <v>0.67999999999999994</v>
      </c>
      <c r="J398" s="35">
        <v>0.32</v>
      </c>
      <c r="K398" s="33">
        <f t="shared" si="54"/>
        <v>0.56599999999999995</v>
      </c>
      <c r="L398" s="35">
        <v>0.4</v>
      </c>
      <c r="M398" s="35">
        <v>3.4000000000000002E-2</v>
      </c>
      <c r="N398" s="34" t="s">
        <v>24</v>
      </c>
      <c r="O398" s="69"/>
      <c r="P398" s="69"/>
      <c r="Q398" s="8">
        <f t="shared" si="56"/>
        <v>8.7896470588235296</v>
      </c>
      <c r="R398" s="8">
        <f t="shared" ref="R398:R418" si="59">($O$3+$P$3)/I398*J398*L398</f>
        <v>6.211764705882354</v>
      </c>
      <c r="S398" s="8">
        <f t="shared" ref="S398:S418" si="60">($O$3+$P$3)/I398*J398*M398</f>
        <v>0.52800000000000014</v>
      </c>
    </row>
    <row r="399" spans="1:19" x14ac:dyDescent="0.25">
      <c r="A399" s="26" t="s">
        <v>506</v>
      </c>
      <c r="B399" s="2">
        <v>5050</v>
      </c>
      <c r="C399" s="26" t="s">
        <v>14</v>
      </c>
      <c r="D399" s="2" t="s">
        <v>393</v>
      </c>
      <c r="E399" s="2" t="s">
        <v>33</v>
      </c>
      <c r="F399" s="2" t="s">
        <v>36</v>
      </c>
      <c r="G399" s="2" t="s">
        <v>141</v>
      </c>
      <c r="H399" s="3">
        <v>80</v>
      </c>
      <c r="I399" s="4">
        <f t="shared" si="58"/>
        <v>0.65</v>
      </c>
      <c r="J399" s="9">
        <v>0.35</v>
      </c>
      <c r="K399" s="5">
        <f t="shared" si="54"/>
        <v>0.89799999999999991</v>
      </c>
      <c r="L399" s="24">
        <v>0.05</v>
      </c>
      <c r="M399" s="24">
        <v>5.1999999999999998E-2</v>
      </c>
      <c r="N399" s="6" t="s">
        <v>24</v>
      </c>
      <c r="O399" s="69"/>
      <c r="P399" s="69"/>
      <c r="Q399" s="8">
        <f t="shared" si="56"/>
        <v>15.956769230769227</v>
      </c>
      <c r="R399" s="8">
        <f t="shared" si="59"/>
        <v>0.88846153846153841</v>
      </c>
      <c r="S399" s="8">
        <f t="shared" si="60"/>
        <v>0.92399999999999982</v>
      </c>
    </row>
    <row r="400" spans="1:19" ht="14.25" customHeight="1" x14ac:dyDescent="0.25">
      <c r="A400" s="1" t="s">
        <v>507</v>
      </c>
      <c r="B400" s="3">
        <v>2835</v>
      </c>
      <c r="C400" s="1" t="s">
        <v>1</v>
      </c>
      <c r="D400" s="3" t="s">
        <v>403</v>
      </c>
      <c r="E400" s="3" t="s">
        <v>20</v>
      </c>
      <c r="F400" s="3" t="s">
        <v>21</v>
      </c>
      <c r="G400" s="3" t="s">
        <v>141</v>
      </c>
      <c r="H400" s="3">
        <v>80</v>
      </c>
      <c r="I400" s="32">
        <f t="shared" si="58"/>
        <v>0.64</v>
      </c>
      <c r="J400" s="33">
        <v>0.36</v>
      </c>
      <c r="K400" s="33">
        <f t="shared" si="54"/>
        <v>0.7</v>
      </c>
      <c r="L400" s="33">
        <v>0.25</v>
      </c>
      <c r="M400" s="33">
        <v>0.05</v>
      </c>
      <c r="N400" s="34" t="s">
        <v>24</v>
      </c>
      <c r="O400" s="69"/>
      <c r="P400" s="69"/>
      <c r="Q400" s="8">
        <f t="shared" si="56"/>
        <v>12.993749999999999</v>
      </c>
      <c r="R400" s="8">
        <f t="shared" si="59"/>
        <v>4.640625</v>
      </c>
      <c r="S400" s="8">
        <f t="shared" si="60"/>
        <v>0.92812500000000009</v>
      </c>
    </row>
    <row r="401" spans="1:19" x14ac:dyDescent="0.25">
      <c r="A401" s="26" t="s">
        <v>508</v>
      </c>
      <c r="B401" s="27">
        <v>5050</v>
      </c>
      <c r="C401" s="1" t="s">
        <v>1</v>
      </c>
      <c r="D401" s="3" t="s">
        <v>405</v>
      </c>
      <c r="E401" s="27" t="s">
        <v>33</v>
      </c>
      <c r="F401" s="27" t="s">
        <v>36</v>
      </c>
      <c r="G401" s="27" t="s">
        <v>143</v>
      </c>
      <c r="H401" s="3">
        <v>80</v>
      </c>
      <c r="I401" s="28">
        <f>100%-J401</f>
        <v>0.72499999999999998</v>
      </c>
      <c r="J401" s="29">
        <v>0.27500000000000002</v>
      </c>
      <c r="K401" s="29">
        <f t="shared" ref="K401:K412" si="61">100%-L401-M401</f>
        <v>0.56030000000000002</v>
      </c>
      <c r="L401" s="30">
        <v>0.4</v>
      </c>
      <c r="M401" s="30">
        <v>3.9699999999999999E-2</v>
      </c>
      <c r="N401" s="31" t="s">
        <v>266</v>
      </c>
      <c r="O401" s="69"/>
      <c r="P401" s="69"/>
      <c r="Q401" s="8">
        <f t="shared" si="56"/>
        <v>7.0134103448275873</v>
      </c>
      <c r="R401" s="8">
        <f t="shared" si="59"/>
        <v>5.0068965517241395</v>
      </c>
      <c r="S401" s="8">
        <f t="shared" si="60"/>
        <v>0.49693448275862079</v>
      </c>
    </row>
    <row r="402" spans="1:19" x14ac:dyDescent="0.25">
      <c r="A402" s="1" t="s">
        <v>509</v>
      </c>
      <c r="B402" s="2">
        <v>2835</v>
      </c>
      <c r="C402" s="1" t="s">
        <v>1</v>
      </c>
      <c r="D402" s="2" t="s">
        <v>15</v>
      </c>
      <c r="E402" s="2" t="s">
        <v>20</v>
      </c>
      <c r="F402" s="2" t="s">
        <v>21</v>
      </c>
      <c r="G402" s="2" t="s">
        <v>141</v>
      </c>
      <c r="H402" s="3">
        <v>90</v>
      </c>
      <c r="I402" s="4">
        <f t="shared" ref="I402:I403" si="62">100%-J402</f>
        <v>0.51</v>
      </c>
      <c r="J402" s="9">
        <v>0.49</v>
      </c>
      <c r="K402" s="5">
        <f t="shared" si="61"/>
        <v>0.90400000000000003</v>
      </c>
      <c r="L402" s="9">
        <v>0</v>
      </c>
      <c r="M402" s="9">
        <v>9.6000000000000002E-2</v>
      </c>
      <c r="N402" s="6" t="s">
        <v>24</v>
      </c>
      <c r="O402" s="69"/>
      <c r="P402" s="69"/>
      <c r="Q402" s="8">
        <f t="shared" si="56"/>
        <v>28.662117647058821</v>
      </c>
      <c r="R402" s="8">
        <f t="shared" si="59"/>
        <v>0</v>
      </c>
      <c r="S402" s="8">
        <f t="shared" si="60"/>
        <v>3.0437647058823529</v>
      </c>
    </row>
    <row r="403" spans="1:19" x14ac:dyDescent="0.25">
      <c r="A403" s="1" t="s">
        <v>510</v>
      </c>
      <c r="B403" s="2">
        <v>2835</v>
      </c>
      <c r="C403" s="1" t="s">
        <v>1</v>
      </c>
      <c r="D403" s="2" t="s">
        <v>15</v>
      </c>
      <c r="E403" s="2" t="s">
        <v>20</v>
      </c>
      <c r="F403" s="2" t="s">
        <v>21</v>
      </c>
      <c r="G403" s="2" t="s">
        <v>139</v>
      </c>
      <c r="H403" s="3">
        <v>90</v>
      </c>
      <c r="I403" s="4">
        <f t="shared" si="62"/>
        <v>0.44499999999999995</v>
      </c>
      <c r="J403" s="9">
        <v>0.55500000000000005</v>
      </c>
      <c r="K403" s="5">
        <f t="shared" si="61"/>
        <v>0.88500000000000001</v>
      </c>
      <c r="L403" s="9">
        <v>0</v>
      </c>
      <c r="M403" s="9">
        <v>0.115</v>
      </c>
      <c r="N403" s="6" t="s">
        <v>266</v>
      </c>
      <c r="O403" s="69"/>
      <c r="P403" s="69"/>
      <c r="Q403" s="8">
        <f t="shared" si="56"/>
        <v>36.424213483146076</v>
      </c>
      <c r="R403" s="8">
        <f t="shared" si="59"/>
        <v>0</v>
      </c>
      <c r="S403" s="8">
        <f t="shared" si="60"/>
        <v>4.7330898876404506</v>
      </c>
    </row>
    <row r="404" spans="1:19" x14ac:dyDescent="0.25">
      <c r="A404" s="1" t="s">
        <v>511</v>
      </c>
      <c r="B404" s="2">
        <v>2835</v>
      </c>
      <c r="C404" s="1" t="s">
        <v>1</v>
      </c>
      <c r="D404" s="3" t="s">
        <v>409</v>
      </c>
      <c r="E404" s="2" t="s">
        <v>3</v>
      </c>
      <c r="F404" s="2" t="s">
        <v>4</v>
      </c>
      <c r="G404" s="2" t="s">
        <v>139</v>
      </c>
      <c r="H404" s="3">
        <v>80</v>
      </c>
      <c r="I404" s="4">
        <f>100%-J404</f>
        <v>0.52</v>
      </c>
      <c r="J404" s="5">
        <v>0.48</v>
      </c>
      <c r="K404" s="5">
        <f t="shared" si="61"/>
        <v>0.79449999999999998</v>
      </c>
      <c r="L404" s="5">
        <v>0.15</v>
      </c>
      <c r="M404" s="5">
        <v>5.5500000000000001E-2</v>
      </c>
      <c r="N404" s="6" t="s">
        <v>266</v>
      </c>
      <c r="O404" s="69"/>
      <c r="P404" s="69"/>
      <c r="Q404" s="8">
        <f t="shared" si="56"/>
        <v>24.201692307692305</v>
      </c>
      <c r="R404" s="8">
        <f t="shared" si="59"/>
        <v>4.569230769230769</v>
      </c>
      <c r="S404" s="8">
        <f t="shared" si="60"/>
        <v>1.6906153846153846</v>
      </c>
    </row>
    <row r="405" spans="1:19" ht="15" customHeight="1" x14ac:dyDescent="0.25">
      <c r="A405" s="1" t="s">
        <v>512</v>
      </c>
      <c r="B405" s="19">
        <v>3030</v>
      </c>
      <c r="C405" s="1" t="s">
        <v>14</v>
      </c>
      <c r="D405" s="19" t="s">
        <v>15</v>
      </c>
      <c r="E405" s="19" t="s">
        <v>20</v>
      </c>
      <c r="F405" s="19" t="s">
        <v>396</v>
      </c>
      <c r="G405" s="19" t="s">
        <v>141</v>
      </c>
      <c r="H405" s="3">
        <v>80</v>
      </c>
      <c r="I405" s="20">
        <f t="shared" ref="I405:I418" si="63">100%-J405</f>
        <v>0.61499999999999999</v>
      </c>
      <c r="J405" s="16">
        <v>0.38500000000000001</v>
      </c>
      <c r="K405" s="21">
        <f t="shared" si="61"/>
        <v>0.52199999999999991</v>
      </c>
      <c r="L405" s="22">
        <v>0.43099999999999999</v>
      </c>
      <c r="M405" s="22">
        <v>4.7E-2</v>
      </c>
      <c r="N405" s="18" t="s">
        <v>24</v>
      </c>
      <c r="O405" s="69"/>
      <c r="P405" s="69"/>
      <c r="Q405" s="8">
        <f t="shared" si="56"/>
        <v>10.783756097560973</v>
      </c>
      <c r="R405" s="8">
        <f t="shared" si="59"/>
        <v>8.9038292682926823</v>
      </c>
      <c r="S405" s="8">
        <f t="shared" si="60"/>
        <v>0.97095121951219499</v>
      </c>
    </row>
    <row r="406" spans="1:19" x14ac:dyDescent="0.25">
      <c r="A406" s="26" t="s">
        <v>513</v>
      </c>
      <c r="B406" s="2">
        <v>5050</v>
      </c>
      <c r="C406" s="26" t="s">
        <v>14</v>
      </c>
      <c r="D406" s="2" t="s">
        <v>15</v>
      </c>
      <c r="E406" s="2" t="s">
        <v>33</v>
      </c>
      <c r="F406" s="2" t="s">
        <v>36</v>
      </c>
      <c r="G406" s="2" t="s">
        <v>8</v>
      </c>
      <c r="H406" s="3">
        <v>90</v>
      </c>
      <c r="I406" s="4">
        <f t="shared" si="63"/>
        <v>0.43000000000000005</v>
      </c>
      <c r="J406" s="9">
        <v>0.56999999999999995</v>
      </c>
      <c r="K406" s="5">
        <f t="shared" si="61"/>
        <v>0.89200000000000002</v>
      </c>
      <c r="L406" s="24">
        <v>0</v>
      </c>
      <c r="M406" s="24">
        <v>0.108</v>
      </c>
      <c r="N406" s="6" t="s">
        <v>44</v>
      </c>
      <c r="Q406" s="8">
        <f t="shared" ref="Q406:Q418" si="64">($O$3+$P$3)/I406*J406*K406</f>
        <v>39.019813953488359</v>
      </c>
      <c r="R406" s="8">
        <f t="shared" si="59"/>
        <v>0</v>
      </c>
      <c r="S406" s="8">
        <f t="shared" si="60"/>
        <v>4.7243720930232547</v>
      </c>
    </row>
    <row r="407" spans="1:19" x14ac:dyDescent="0.25">
      <c r="A407" s="26" t="s">
        <v>254</v>
      </c>
      <c r="B407" s="2">
        <v>5050</v>
      </c>
      <c r="C407" s="26" t="s">
        <v>14</v>
      </c>
      <c r="D407" s="2" t="s">
        <v>15</v>
      </c>
      <c r="E407" s="2" t="s">
        <v>33</v>
      </c>
      <c r="F407" s="2" t="s">
        <v>36</v>
      </c>
      <c r="G407" s="2" t="s">
        <v>139</v>
      </c>
      <c r="H407" s="3">
        <v>90</v>
      </c>
      <c r="I407" s="4">
        <f t="shared" si="63"/>
        <v>0.42500000000000004</v>
      </c>
      <c r="J407" s="9">
        <v>0.57499999999999996</v>
      </c>
      <c r="K407" s="5">
        <f t="shared" si="61"/>
        <v>0.89</v>
      </c>
      <c r="L407" s="24">
        <v>0</v>
      </c>
      <c r="M407" s="24">
        <v>0.11</v>
      </c>
      <c r="N407" s="6" t="s">
        <v>44</v>
      </c>
      <c r="Q407" s="8">
        <f t="shared" si="64"/>
        <v>39.735882352941175</v>
      </c>
      <c r="R407" s="8">
        <f t="shared" si="59"/>
        <v>0</v>
      </c>
      <c r="S407" s="8">
        <f t="shared" si="60"/>
        <v>4.9111764705882344</v>
      </c>
    </row>
    <row r="408" spans="1:19" x14ac:dyDescent="0.25">
      <c r="A408" s="1" t="s">
        <v>514</v>
      </c>
      <c r="B408" s="3">
        <v>3030</v>
      </c>
      <c r="C408" s="1" t="s">
        <v>14</v>
      </c>
      <c r="D408" s="3" t="s">
        <v>82</v>
      </c>
      <c r="E408" s="3" t="s">
        <v>20</v>
      </c>
      <c r="F408" s="3" t="s">
        <v>396</v>
      </c>
      <c r="G408" s="3" t="s">
        <v>10</v>
      </c>
      <c r="H408" s="3">
        <v>80</v>
      </c>
      <c r="I408" s="32">
        <f t="shared" si="63"/>
        <v>0.61499999999999999</v>
      </c>
      <c r="J408" s="35">
        <v>0.38500000000000001</v>
      </c>
      <c r="K408" s="33">
        <f t="shared" si="61"/>
        <v>0.52199999999999991</v>
      </c>
      <c r="L408" s="33">
        <v>0.43099999999999999</v>
      </c>
      <c r="M408" s="33">
        <v>4.7E-2</v>
      </c>
      <c r="N408" s="34" t="s">
        <v>266</v>
      </c>
      <c r="Q408" s="8">
        <f t="shared" si="64"/>
        <v>10.783756097560973</v>
      </c>
      <c r="R408" s="8">
        <f t="shared" si="59"/>
        <v>8.9038292682926823</v>
      </c>
      <c r="S408" s="8">
        <f t="shared" si="60"/>
        <v>0.97095121951219499</v>
      </c>
    </row>
    <row r="409" spans="1:19" x14ac:dyDescent="0.25">
      <c r="A409" s="1" t="s">
        <v>515</v>
      </c>
      <c r="B409" s="3">
        <v>3030</v>
      </c>
      <c r="C409" s="1" t="s">
        <v>14</v>
      </c>
      <c r="D409" s="3" t="s">
        <v>82</v>
      </c>
      <c r="E409" s="3" t="s">
        <v>20</v>
      </c>
      <c r="F409" s="3" t="s">
        <v>396</v>
      </c>
      <c r="G409" s="3" t="s">
        <v>141</v>
      </c>
      <c r="H409" s="3">
        <v>80</v>
      </c>
      <c r="I409" s="32">
        <f t="shared" si="63"/>
        <v>0.61499999999999999</v>
      </c>
      <c r="J409" s="35">
        <v>0.38500000000000001</v>
      </c>
      <c r="K409" s="33">
        <f t="shared" si="61"/>
        <v>0.52199999999999991</v>
      </c>
      <c r="L409" s="33">
        <v>0.43099999999999999</v>
      </c>
      <c r="M409" s="33">
        <v>4.7E-2</v>
      </c>
      <c r="N409" s="34" t="s">
        <v>266</v>
      </c>
      <c r="Q409" s="8">
        <f t="shared" si="64"/>
        <v>10.783756097560973</v>
      </c>
      <c r="R409" s="8">
        <f t="shared" si="59"/>
        <v>8.9038292682926823</v>
      </c>
      <c r="S409" s="8">
        <f t="shared" si="60"/>
        <v>0.97095121951219499</v>
      </c>
    </row>
    <row r="410" spans="1:19" ht="15" customHeight="1" x14ac:dyDescent="0.25">
      <c r="A410" s="1" t="s">
        <v>516</v>
      </c>
      <c r="B410" s="19">
        <v>3030</v>
      </c>
      <c r="C410" s="1" t="s">
        <v>14</v>
      </c>
      <c r="D410" s="19" t="s">
        <v>306</v>
      </c>
      <c r="E410" s="19" t="s">
        <v>20</v>
      </c>
      <c r="F410" s="19" t="s">
        <v>21</v>
      </c>
      <c r="G410" s="19" t="s">
        <v>141</v>
      </c>
      <c r="H410" s="3">
        <v>80</v>
      </c>
      <c r="I410" s="20">
        <f t="shared" si="63"/>
        <v>0.55000000000000004</v>
      </c>
      <c r="J410" s="16">
        <v>0.45</v>
      </c>
      <c r="K410" s="21">
        <f t="shared" si="61"/>
        <v>0.52999999999999992</v>
      </c>
      <c r="L410" s="22">
        <v>0.43099999999999999</v>
      </c>
      <c r="M410" s="22">
        <v>3.9E-2</v>
      </c>
      <c r="N410" s="18" t="s">
        <v>24</v>
      </c>
      <c r="Q410" s="8">
        <f t="shared" si="64"/>
        <v>14.309999999999995</v>
      </c>
      <c r="R410" s="8">
        <f t="shared" si="59"/>
        <v>11.636999999999999</v>
      </c>
      <c r="S410" s="8">
        <f t="shared" si="60"/>
        <v>1.0529999999999999</v>
      </c>
    </row>
    <row r="411" spans="1:19" x14ac:dyDescent="0.25">
      <c r="A411" s="26" t="s">
        <v>517</v>
      </c>
      <c r="B411" s="3">
        <v>5050</v>
      </c>
      <c r="C411" s="1" t="s">
        <v>1</v>
      </c>
      <c r="D411" s="3" t="s">
        <v>82</v>
      </c>
      <c r="E411" s="3" t="s">
        <v>33</v>
      </c>
      <c r="F411" s="3" t="s">
        <v>36</v>
      </c>
      <c r="G411" s="3" t="s">
        <v>141</v>
      </c>
      <c r="H411" s="3">
        <v>80</v>
      </c>
      <c r="I411" s="32">
        <f t="shared" si="63"/>
        <v>0.65999999999999992</v>
      </c>
      <c r="J411" s="35">
        <v>0.34</v>
      </c>
      <c r="K411" s="33">
        <f t="shared" si="61"/>
        <v>0.89999999999999991</v>
      </c>
      <c r="L411" s="35">
        <v>0.05</v>
      </c>
      <c r="M411" s="35">
        <v>0.05</v>
      </c>
      <c r="N411" s="34" t="s">
        <v>24</v>
      </c>
      <c r="Q411" s="8">
        <f t="shared" si="64"/>
        <v>15.300000000000002</v>
      </c>
      <c r="R411" s="8">
        <f t="shared" si="59"/>
        <v>0.8500000000000002</v>
      </c>
      <c r="S411" s="8">
        <f t="shared" si="60"/>
        <v>0.8500000000000002</v>
      </c>
    </row>
    <row r="412" spans="1:19" x14ac:dyDescent="0.25">
      <c r="A412" s="26" t="s">
        <v>257</v>
      </c>
      <c r="B412" s="2">
        <v>5050</v>
      </c>
      <c r="C412" s="26" t="s">
        <v>1</v>
      </c>
      <c r="D412" s="2" t="s">
        <v>15</v>
      </c>
      <c r="E412" s="2" t="s">
        <v>51</v>
      </c>
      <c r="F412" s="2" t="s">
        <v>52</v>
      </c>
      <c r="G412" s="2" t="s">
        <v>141</v>
      </c>
      <c r="H412" s="3">
        <v>80</v>
      </c>
      <c r="I412" s="4">
        <f>100%-J412</f>
        <v>0.69</v>
      </c>
      <c r="J412" s="9">
        <v>0.31</v>
      </c>
      <c r="K412" s="5">
        <f t="shared" si="61"/>
        <v>0.3</v>
      </c>
      <c r="L412" s="24">
        <v>0.65</v>
      </c>
      <c r="M412" s="24">
        <v>0.05</v>
      </c>
      <c r="N412" s="6" t="s">
        <v>24</v>
      </c>
      <c r="Q412" s="8">
        <f t="shared" si="64"/>
        <v>4.447826086956522</v>
      </c>
      <c r="R412" s="8">
        <f t="shared" si="59"/>
        <v>9.6369565217391315</v>
      </c>
      <c r="S412" s="8">
        <f t="shared" si="60"/>
        <v>0.74130434782608701</v>
      </c>
    </row>
    <row r="413" spans="1:19" x14ac:dyDescent="0.25">
      <c r="A413" s="26" t="s">
        <v>262</v>
      </c>
      <c r="B413" s="3">
        <v>5050</v>
      </c>
      <c r="C413" s="1" t="s">
        <v>1</v>
      </c>
      <c r="D413" s="3" t="s">
        <v>15</v>
      </c>
      <c r="E413" s="3" t="s">
        <v>51</v>
      </c>
      <c r="F413" s="3" t="s">
        <v>52</v>
      </c>
      <c r="G413" s="3" t="s">
        <v>263</v>
      </c>
      <c r="H413" s="3">
        <v>80</v>
      </c>
      <c r="I413" s="32">
        <f t="shared" si="63"/>
        <v>0.63</v>
      </c>
      <c r="J413" s="33">
        <v>0.37</v>
      </c>
      <c r="K413" s="33">
        <f>100%-L413-M413</f>
        <v>0.54499999999999993</v>
      </c>
      <c r="L413" s="36">
        <v>0.4</v>
      </c>
      <c r="M413" s="36">
        <v>5.5E-2</v>
      </c>
      <c r="N413" s="34" t="s">
        <v>24</v>
      </c>
      <c r="Q413" s="8">
        <f t="shared" si="64"/>
        <v>10.562619047619046</v>
      </c>
      <c r="R413" s="8">
        <f t="shared" si="59"/>
        <v>7.7523809523809524</v>
      </c>
      <c r="S413" s="8">
        <f t="shared" si="60"/>
        <v>1.065952380952381</v>
      </c>
    </row>
    <row r="414" spans="1:19" ht="15" customHeight="1" x14ac:dyDescent="0.25">
      <c r="A414" s="1" t="s">
        <v>518</v>
      </c>
      <c r="B414" s="19">
        <v>3030</v>
      </c>
      <c r="C414" s="1" t="s">
        <v>14</v>
      </c>
      <c r="D414" s="19" t="s">
        <v>306</v>
      </c>
      <c r="E414" s="19" t="s">
        <v>389</v>
      </c>
      <c r="F414" s="19" t="s">
        <v>390</v>
      </c>
      <c r="G414" s="19" t="s">
        <v>10</v>
      </c>
      <c r="H414" s="3">
        <v>80</v>
      </c>
      <c r="I414" s="20">
        <f t="shared" si="63"/>
        <v>0.55499999999999994</v>
      </c>
      <c r="J414" s="16">
        <v>0.44500000000000001</v>
      </c>
      <c r="K414" s="21">
        <f t="shared" ref="K414:K418" si="65">100%-L414-M414</f>
        <v>0.52899999999999991</v>
      </c>
      <c r="L414" s="22">
        <v>0.43099999999999999</v>
      </c>
      <c r="M414" s="22">
        <v>0.04</v>
      </c>
      <c r="N414" s="18" t="s">
        <v>24</v>
      </c>
      <c r="Q414" s="8">
        <f t="shared" si="64"/>
        <v>13.997054054054054</v>
      </c>
      <c r="R414" s="8">
        <f t="shared" si="59"/>
        <v>11.404027027027029</v>
      </c>
      <c r="S414" s="8">
        <f t="shared" si="60"/>
        <v>1.0583783783783784</v>
      </c>
    </row>
    <row r="415" spans="1:19" x14ac:dyDescent="0.25">
      <c r="A415" s="26" t="s">
        <v>264</v>
      </c>
      <c r="B415" s="3">
        <v>5050</v>
      </c>
      <c r="C415" s="26" t="s">
        <v>1</v>
      </c>
      <c r="D415" s="3" t="s">
        <v>15</v>
      </c>
      <c r="E415" s="3" t="s">
        <v>51</v>
      </c>
      <c r="F415" s="3" t="s">
        <v>52</v>
      </c>
      <c r="G415" s="3" t="s">
        <v>265</v>
      </c>
      <c r="H415" s="3">
        <v>70</v>
      </c>
      <c r="I415" s="32">
        <f t="shared" si="63"/>
        <v>0.8</v>
      </c>
      <c r="J415" s="33">
        <v>0.2</v>
      </c>
      <c r="K415" s="33">
        <f t="shared" si="65"/>
        <v>0.57099999999999995</v>
      </c>
      <c r="L415" s="36">
        <v>0.4</v>
      </c>
      <c r="M415" s="36">
        <v>2.9000000000000001E-2</v>
      </c>
      <c r="N415" s="34" t="s">
        <v>24</v>
      </c>
      <c r="Q415" s="8">
        <f t="shared" si="64"/>
        <v>4.71075</v>
      </c>
      <c r="R415" s="8">
        <f t="shared" si="59"/>
        <v>3.3000000000000003</v>
      </c>
      <c r="S415" s="8">
        <f t="shared" si="60"/>
        <v>0.23925000000000002</v>
      </c>
    </row>
    <row r="416" spans="1:19" ht="15" customHeight="1" x14ac:dyDescent="0.25">
      <c r="A416" s="1" t="s">
        <v>268</v>
      </c>
      <c r="B416" s="3">
        <v>2835</v>
      </c>
      <c r="C416" s="1" t="s">
        <v>1</v>
      </c>
      <c r="D416" s="3" t="s">
        <v>15</v>
      </c>
      <c r="E416" s="3" t="s">
        <v>3</v>
      </c>
      <c r="F416" s="3" t="s">
        <v>4</v>
      </c>
      <c r="G416" s="3" t="s">
        <v>269</v>
      </c>
      <c r="H416" s="3">
        <v>80</v>
      </c>
      <c r="I416" s="32">
        <f t="shared" si="63"/>
        <v>0.61</v>
      </c>
      <c r="J416" s="33">
        <v>0.39</v>
      </c>
      <c r="K416" s="33">
        <f t="shared" si="65"/>
        <v>0.44800000000000001</v>
      </c>
      <c r="L416" s="33">
        <v>0.5</v>
      </c>
      <c r="M416" s="33">
        <v>5.1999999999999998E-2</v>
      </c>
      <c r="N416" s="34" t="s">
        <v>266</v>
      </c>
      <c r="Q416" s="8">
        <f t="shared" si="64"/>
        <v>9.4520655737704935</v>
      </c>
      <c r="R416" s="8">
        <f t="shared" si="59"/>
        <v>10.549180327868854</v>
      </c>
      <c r="S416" s="8">
        <f t="shared" si="60"/>
        <v>1.0971147540983608</v>
      </c>
    </row>
    <row r="417" spans="1:19" x14ac:dyDescent="0.25">
      <c r="A417" s="26" t="s">
        <v>519</v>
      </c>
      <c r="B417" s="3">
        <v>5050</v>
      </c>
      <c r="C417" s="1" t="s">
        <v>1</v>
      </c>
      <c r="D417" s="3" t="s">
        <v>15</v>
      </c>
      <c r="E417" s="3" t="s">
        <v>51</v>
      </c>
      <c r="F417" s="3" t="s">
        <v>52</v>
      </c>
      <c r="G417" s="3" t="s">
        <v>520</v>
      </c>
      <c r="H417" s="3">
        <v>80</v>
      </c>
      <c r="I417" s="32">
        <f t="shared" si="63"/>
        <v>0.54</v>
      </c>
      <c r="J417" s="33">
        <v>0.46</v>
      </c>
      <c r="K417" s="33">
        <f t="shared" si="65"/>
        <v>0.90999999999999992</v>
      </c>
      <c r="L417" s="36">
        <v>0.02</v>
      </c>
      <c r="M417" s="36">
        <v>7.0000000000000007E-2</v>
      </c>
      <c r="N417" s="34" t="s">
        <v>24</v>
      </c>
      <c r="Q417" s="8">
        <f t="shared" si="64"/>
        <v>25.58111111111111</v>
      </c>
      <c r="R417" s="8">
        <f t="shared" si="59"/>
        <v>0.56222222222222218</v>
      </c>
      <c r="S417" s="8">
        <f t="shared" si="60"/>
        <v>1.9677777777777778</v>
      </c>
    </row>
    <row r="418" spans="1:19" x14ac:dyDescent="0.25">
      <c r="A418" s="26" t="s">
        <v>270</v>
      </c>
      <c r="B418" s="3">
        <v>5050</v>
      </c>
      <c r="C418" s="1" t="s">
        <v>1</v>
      </c>
      <c r="D418" s="3" t="s">
        <v>15</v>
      </c>
      <c r="E418" s="3" t="s">
        <v>51</v>
      </c>
      <c r="F418" s="3" t="s">
        <v>52</v>
      </c>
      <c r="G418" s="3" t="s">
        <v>271</v>
      </c>
      <c r="H418" s="3">
        <v>70</v>
      </c>
      <c r="I418" s="32">
        <f t="shared" si="63"/>
        <v>0.64</v>
      </c>
      <c r="J418" s="33">
        <v>0.36</v>
      </c>
      <c r="K418" s="33">
        <f t="shared" si="65"/>
        <v>0.63849999999999996</v>
      </c>
      <c r="L418" s="36">
        <v>0.3</v>
      </c>
      <c r="M418" s="36">
        <v>6.1499999999999999E-2</v>
      </c>
      <c r="N418" s="34" t="s">
        <v>24</v>
      </c>
      <c r="Q418" s="8">
        <f t="shared" si="64"/>
        <v>11.852156249999998</v>
      </c>
      <c r="R418" s="8">
        <f t="shared" si="59"/>
        <v>5.5687499999999996</v>
      </c>
      <c r="S418" s="8">
        <f t="shared" si="60"/>
        <v>1.14159375</v>
      </c>
    </row>
    <row r="419" spans="1:19" x14ac:dyDescent="0.25">
      <c r="M419" s="60" t="s">
        <v>521</v>
      </c>
    </row>
    <row r="420" spans="1:19" x14ac:dyDescent="0.25">
      <c r="A420" s="26" t="s">
        <v>522</v>
      </c>
      <c r="B420" s="3">
        <v>5050</v>
      </c>
      <c r="C420" s="1" t="s">
        <v>14</v>
      </c>
      <c r="D420" s="3" t="s">
        <v>2</v>
      </c>
      <c r="E420" s="3" t="s">
        <v>51</v>
      </c>
      <c r="F420" s="3" t="s">
        <v>52</v>
      </c>
      <c r="G420" s="3" t="s">
        <v>141</v>
      </c>
      <c r="H420" s="3">
        <v>70</v>
      </c>
      <c r="I420" s="32">
        <f t="shared" ref="I420" si="66">100%-J420</f>
        <v>0.73499999999999999</v>
      </c>
      <c r="J420" s="33">
        <v>0.26500000000000001</v>
      </c>
      <c r="K420" s="33">
        <f>100%-L420-M420</f>
        <v>0.77</v>
      </c>
      <c r="L420" s="36">
        <v>0.2</v>
      </c>
      <c r="M420" s="36">
        <v>0.03</v>
      </c>
      <c r="N420" s="34" t="s">
        <v>266</v>
      </c>
      <c r="Q420" s="8">
        <f t="shared" ref="Q420" si="67">($O$3+$P$3)/I420*J420*K420</f>
        <v>9.1614285714285728</v>
      </c>
      <c r="R420" s="8">
        <f t="shared" ref="R420" si="68">($O$3+$P$3)/I420*J420*L420</f>
        <v>2.3795918367346944</v>
      </c>
      <c r="S420" s="8">
        <f t="shared" ref="S420" si="69">($O$3+$P$3)/I420*J420*M420</f>
        <v>0.35693877551020414</v>
      </c>
    </row>
  </sheetData>
  <mergeCells count="5">
    <mergeCell ref="O205:O405"/>
    <mergeCell ref="P205:P405"/>
    <mergeCell ref="K1:M1"/>
    <mergeCell ref="O3:O204"/>
    <mergeCell ref="P3:P204"/>
  </mergeCells>
  <conditionalFormatting sqref="B193:H193 M193:N193">
    <cfRule type="expression" dxfId="89" priority="73">
      <formula>$K193+$L193+$M193&lt;100%</formula>
    </cfRule>
    <cfRule type="expression" dxfId="88" priority="74">
      <formula>$K193+$L193+$M193&gt;100%</formula>
    </cfRule>
  </conditionalFormatting>
  <conditionalFormatting sqref="B202:H203 M202:N203">
    <cfRule type="expression" dxfId="87" priority="69">
      <formula>$K202+$L202+$M202&lt;100%</formula>
    </cfRule>
    <cfRule type="expression" dxfId="86" priority="70">
      <formula>$K202+$L202+$M202&gt;100%</formula>
    </cfRule>
  </conditionalFormatting>
  <conditionalFormatting sqref="B395:H395 M395:N395">
    <cfRule type="expression" dxfId="85" priority="49">
      <formula>$K395+$L395+$M395&lt;100%</formula>
    </cfRule>
    <cfRule type="expression" dxfId="84" priority="50">
      <formula>$K395+$L395+$M395&gt;100%</formula>
    </cfRule>
  </conditionalFormatting>
  <conditionalFormatting sqref="B404:H405 M404:N405">
    <cfRule type="expression" dxfId="83" priority="45">
      <formula>$K404+$L404+$M404&lt;100%</formula>
    </cfRule>
    <cfRule type="expression" dxfId="82" priority="46">
      <formula>$K404+$L404+$M404&gt;100%</formula>
    </cfRule>
  </conditionalFormatting>
  <conditionalFormatting sqref="B410:H410 M410:N410">
    <cfRule type="expression" dxfId="81" priority="41">
      <formula>$K410+$L410+$M410&lt;100%</formula>
    </cfRule>
    <cfRule type="expression" dxfId="80" priority="42">
      <formula>$K410+$L410+$M410&gt;100%</formula>
    </cfRule>
  </conditionalFormatting>
  <conditionalFormatting sqref="B414:H414 M414:N414">
    <cfRule type="expression" dxfId="79" priority="33">
      <formula>$K414+$L414+$M414&lt;100%</formula>
    </cfRule>
    <cfRule type="expression" dxfId="78" priority="34">
      <formula>$K414+$L414+$M414&gt;100%</formula>
    </cfRule>
  </conditionalFormatting>
  <conditionalFormatting sqref="B180:M182">
    <cfRule type="expression" dxfId="77" priority="77">
      <formula>$N180="Да"</formula>
    </cfRule>
    <cfRule type="expression" dxfId="76" priority="78">
      <formula>$N180="Нет"</formula>
    </cfRule>
    <cfRule type="expression" dxfId="75" priority="79">
      <formula>$N180="Необходимо подтвердить"</formula>
    </cfRule>
    <cfRule type="expression" dxfId="74" priority="80">
      <formula>$N180="В работе"</formula>
    </cfRule>
  </conditionalFormatting>
  <conditionalFormatting sqref="B382:M384">
    <cfRule type="expression" dxfId="73" priority="53">
      <formula>$N382="Да"</formula>
    </cfRule>
    <cfRule type="expression" dxfId="72" priority="54">
      <formula>$N382="Нет"</formula>
    </cfRule>
    <cfRule type="expression" dxfId="71" priority="55">
      <formula>$N382="Необходимо подтвердить"</formula>
    </cfRule>
    <cfRule type="expression" dxfId="70" priority="56">
      <formula>$N382="В работе"</formula>
    </cfRule>
  </conditionalFormatting>
  <conditionalFormatting sqref="B3:N416">
    <cfRule type="expression" dxfId="69" priority="27">
      <formula>$N3="Да"</formula>
    </cfRule>
    <cfRule type="expression" dxfId="68" priority="28">
      <formula>$N3="Нет"</formula>
    </cfRule>
    <cfRule type="expression" dxfId="67" priority="29">
      <formula>$N3="Необходимо подтвердить"</formula>
    </cfRule>
    <cfRule type="expression" dxfId="66" priority="30">
      <formula>$N3="В работе"</formula>
    </cfRule>
  </conditionalFormatting>
  <conditionalFormatting sqref="B183:N192">
    <cfRule type="expression" dxfId="65" priority="75">
      <formula>$K183+$L183+$M183&lt;100%</formula>
    </cfRule>
    <cfRule type="expression" dxfId="64" priority="76">
      <formula>$K183+$L183+$M183&gt;100%</formula>
    </cfRule>
  </conditionalFormatting>
  <conditionalFormatting sqref="B194:N201">
    <cfRule type="expression" dxfId="63" priority="71">
      <formula>$K194+$L194+$M194&lt;100%</formula>
    </cfRule>
    <cfRule type="expression" dxfId="62" priority="72">
      <formula>$K194+$L194+$M194&gt;100%</formula>
    </cfRule>
  </conditionalFormatting>
  <conditionalFormatting sqref="B204:N204">
    <cfRule type="expression" dxfId="61" priority="67">
      <formula>$K204+$L204+$M204&lt;100%</formula>
    </cfRule>
    <cfRule type="expression" dxfId="60" priority="68">
      <formula>$K204+$L204+$M204&gt;100%</formula>
    </cfRule>
  </conditionalFormatting>
  <conditionalFormatting sqref="B385:N394">
    <cfRule type="expression" dxfId="59" priority="51">
      <formula>$K385+$L385+$M385&lt;100%</formula>
    </cfRule>
    <cfRule type="expression" dxfId="58" priority="52">
      <formula>$K385+$L385+$M385&gt;100%</formula>
    </cfRule>
  </conditionalFormatting>
  <conditionalFormatting sqref="B396:N403">
    <cfRule type="expression" dxfId="57" priority="47">
      <formula>$K396+$L396+$M396&lt;100%</formula>
    </cfRule>
    <cfRule type="expression" dxfId="56" priority="48">
      <formula>$K396+$L396+$M396&gt;100%</formula>
    </cfRule>
  </conditionalFormatting>
  <conditionalFormatting sqref="B406:N409">
    <cfRule type="expression" dxfId="55" priority="43">
      <formula>$K406+$L406+$M406&lt;100%</formula>
    </cfRule>
    <cfRule type="expression" dxfId="54" priority="44">
      <formula>$K406+$L406+$M406&gt;100%</formula>
    </cfRule>
  </conditionalFormatting>
  <conditionalFormatting sqref="B411:N413">
    <cfRule type="expression" dxfId="53" priority="39">
      <formula>$K411+$L411+$M411&lt;100%</formula>
    </cfRule>
    <cfRule type="expression" dxfId="52" priority="40">
      <formula>$K411+$L411+$M411&gt;100%</formula>
    </cfRule>
  </conditionalFormatting>
  <conditionalFormatting sqref="B415:N416">
    <cfRule type="expression" dxfId="51" priority="31">
      <formula>$K415+$L415+$M415&lt;100%</formula>
    </cfRule>
    <cfRule type="expression" dxfId="50" priority="32">
      <formula>$K415+$L415+$M415&gt;100%</formula>
    </cfRule>
  </conditionalFormatting>
  <conditionalFormatting sqref="B416:N418">
    <cfRule type="expression" dxfId="49" priority="17">
      <formula>$N416="Да"</formula>
    </cfRule>
    <cfRule type="expression" dxfId="48" priority="18">
      <formula>$N416="Нет"</formula>
    </cfRule>
    <cfRule type="expression" dxfId="47" priority="19">
      <formula>$N416="Необходимо подтвердить"</formula>
    </cfRule>
    <cfRule type="expression" dxfId="46" priority="20">
      <formula>$N416="В работе"</formula>
    </cfRule>
  </conditionalFormatting>
  <conditionalFormatting sqref="B417:N418">
    <cfRule type="expression" dxfId="45" priority="25">
      <formula>$K417+$L417+$M417&lt;100%</formula>
    </cfRule>
    <cfRule type="expression" dxfId="44" priority="26">
      <formula>$K417+$L417+$M417&gt;100%</formula>
    </cfRule>
  </conditionalFormatting>
  <conditionalFormatting sqref="C35:C36 C60 C66:C67 C89">
    <cfRule type="expression" dxfId="43" priority="81">
      <formula>$N35="Да"</formula>
    </cfRule>
    <cfRule type="expression" dxfId="42" priority="82">
      <formula>$N35="Нет"</formula>
    </cfRule>
    <cfRule type="expression" dxfId="41" priority="83">
      <formula>$N35="Необходимо подтвердить"</formula>
    </cfRule>
    <cfRule type="expression" dxfId="40" priority="84">
      <formula>$N35="В работе"</formula>
    </cfRule>
  </conditionalFormatting>
  <conditionalFormatting sqref="C237:C238 C262 C268:C269 C291">
    <cfRule type="expression" dxfId="39" priority="57">
      <formula>$N237="Да"</formula>
    </cfRule>
    <cfRule type="expression" dxfId="38" priority="58">
      <formula>$N237="Нет"</formula>
    </cfRule>
    <cfRule type="expression" dxfId="37" priority="59">
      <formula>$N237="Необходимо подтвердить"</formula>
    </cfRule>
    <cfRule type="expression" dxfId="36" priority="60">
      <formula>$N237="В работе"</formula>
    </cfRule>
  </conditionalFormatting>
  <conditionalFormatting sqref="I170:N171 I172:M179 N172:N182">
    <cfRule type="expression" dxfId="35" priority="85">
      <formula>$N170="Да"</formula>
    </cfRule>
    <cfRule type="expression" dxfId="34" priority="86">
      <formula>$N170="Нет"</formula>
    </cfRule>
    <cfRule type="expression" dxfId="33" priority="87">
      <formula>$N170="Необходимо подтвердить"</formula>
    </cfRule>
    <cfRule type="expression" dxfId="32" priority="88">
      <formula>$N170="В работе"</formula>
    </cfRule>
  </conditionalFormatting>
  <conditionalFormatting sqref="I372:N373 I374:M381 N374:N384">
    <cfRule type="expression" dxfId="31" priority="61">
      <formula>$N372="Да"</formula>
    </cfRule>
    <cfRule type="expression" dxfId="30" priority="62">
      <formula>$N372="Нет"</formula>
    </cfRule>
    <cfRule type="expression" dxfId="29" priority="63">
      <formula>$N372="Необходимо подтвердить"</formula>
    </cfRule>
    <cfRule type="expression" dxfId="28" priority="64">
      <formula>$N372="В работе"</formula>
    </cfRule>
  </conditionalFormatting>
  <conditionalFormatting sqref="I413:N413">
    <cfRule type="expression" dxfId="27" priority="35">
      <formula>$N413="Да"</formula>
    </cfRule>
    <cfRule type="expression" dxfId="26" priority="36">
      <formula>$N413="Нет"</formula>
    </cfRule>
    <cfRule type="expression" dxfId="25" priority="37">
      <formula>$N413="Необходимо подтвердить"</formula>
    </cfRule>
    <cfRule type="expression" dxfId="24" priority="38">
      <formula>$N413="В работе"</formula>
    </cfRule>
  </conditionalFormatting>
  <conditionalFormatting sqref="I417:N418">
    <cfRule type="expression" dxfId="23" priority="21">
      <formula>$N417="Да"</formula>
    </cfRule>
    <cfRule type="expression" dxfId="22" priority="22">
      <formula>$N417="Нет"</formula>
    </cfRule>
    <cfRule type="expression" dxfId="21" priority="23">
      <formula>$N417="Необходимо подтвердить"</formula>
    </cfRule>
    <cfRule type="expression" dxfId="20" priority="24">
      <formula>$N417="В работе"</formula>
    </cfRule>
  </conditionalFormatting>
  <conditionalFormatting sqref="N3:N182 B147:M182 B18:M37 B44:H87 B88:M102 J3:M3 M4:M14 B3:H17 I7:L12 I15:M17 B38:L43 M38:M77 J44:L44 I64:L73 J74:L74 I78:M87 J103:M103 H103:H106 M104:M106 B103:G146 H107:M129 M130 H131:M131 J132:M132 M133:M146 H137:L141">
    <cfRule type="expression" dxfId="19" priority="89">
      <formula>$K3+$L3+$M3&lt;100%</formula>
    </cfRule>
    <cfRule type="expression" dxfId="18" priority="90">
      <formula>$K3+$L3+$M3&gt;100%</formula>
    </cfRule>
  </conditionalFormatting>
  <conditionalFormatting sqref="N205:N384 B349:M384 B220:M239 B246:H289 B290:M304 J205:M205 B205:H219 M206:M216 I209:L214 I217:M219 B240:L245 M240:M275 J246:L246 I266:L275 J276:M276 M277:M279 I280:M289 J305:M305 H305:H308 B305:G348 M306:M308 H309:M331 M332 H333:M333 J334:M334 M335:M348 H339:L343">
    <cfRule type="expression" dxfId="17" priority="65">
      <formula>$K205+$L205+$M205&lt;100%</formula>
    </cfRule>
    <cfRule type="expression" dxfId="16" priority="66">
      <formula>$K205+$L205+$M205&gt;100%</formula>
    </cfRule>
  </conditionalFormatting>
  <conditionalFormatting sqref="B420 D420:N420">
    <cfRule type="expression" dxfId="15" priority="7">
      <formula>$N420="Да"</formula>
    </cfRule>
    <cfRule type="expression" dxfId="14" priority="8">
      <formula>$N420="Нет"</formula>
    </cfRule>
    <cfRule type="expression" dxfId="13" priority="9">
      <formula>$N420="Необходимо подтвердить"</formula>
    </cfRule>
    <cfRule type="expression" dxfId="12" priority="10">
      <formula>$N420="В работе"</formula>
    </cfRule>
  </conditionalFormatting>
  <conditionalFormatting sqref="B420 D420:N420">
    <cfRule type="expression" dxfId="11" priority="15">
      <formula>$K420+$L420+$M420&lt;100%</formula>
    </cfRule>
    <cfRule type="expression" dxfId="10" priority="16">
      <formula>$K420+$L420+$M420&gt;100%</formula>
    </cfRule>
  </conditionalFormatting>
  <conditionalFormatting sqref="I420:N420">
    <cfRule type="expression" dxfId="9" priority="11">
      <formula>$N420="Да"</formula>
    </cfRule>
    <cfRule type="expression" dxfId="8" priority="12">
      <formula>$N420="Нет"</formula>
    </cfRule>
    <cfRule type="expression" dxfId="7" priority="13">
      <formula>$N420="Необходимо подтвердить"</formula>
    </cfRule>
    <cfRule type="expression" dxfId="6" priority="14">
      <formula>$N420="В работе"</formula>
    </cfRule>
  </conditionalFormatting>
  <conditionalFormatting sqref="C420">
    <cfRule type="expression" dxfId="5" priority="1">
      <formula>$N420="Да"</formula>
    </cfRule>
    <cfRule type="expression" dxfId="4" priority="2">
      <formula>$N420="Нет"</formula>
    </cfRule>
    <cfRule type="expression" dxfId="3" priority="3">
      <formula>$N420="Необходимо подтвердить"</formula>
    </cfRule>
    <cfRule type="expression" dxfId="2" priority="4">
      <formula>$N420="В работе"</formula>
    </cfRule>
  </conditionalFormatting>
  <conditionalFormatting sqref="C420">
    <cfRule type="expression" dxfId="1" priority="5">
      <formula>$K420+$L420+$M420&lt;100%</formula>
    </cfRule>
    <cfRule type="expression" dxfId="0" priority="6">
      <formula>$K420+$L420+$M420&gt;100%</formula>
    </cfRule>
  </conditionalFormatting>
  <dataValidations count="1">
    <dataValidation type="list" allowBlank="1" showInputMessage="1" showErrorMessage="1" sqref="N3:N418 N420" xr:uid="{34730FBE-47B5-49E3-B175-60962FA46017}">
      <formula1>"Да,Необходимо подтвердить,В работе,Нет"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Расход Production</vt:lpstr>
      <vt:lpstr>Расход Eng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Арсланова Ирина Сергеевна</dc:creator>
  <cp:lastModifiedBy>Гриценко Ирина Сергеевна</cp:lastModifiedBy>
  <dcterms:created xsi:type="dcterms:W3CDTF">2015-06-05T18:19:34Z</dcterms:created>
  <dcterms:modified xsi:type="dcterms:W3CDTF">2024-04-12T14:26:34Z</dcterms:modified>
</cp:coreProperties>
</file>